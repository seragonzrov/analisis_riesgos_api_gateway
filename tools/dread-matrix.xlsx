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EAD Matrix" sheetId="1" state="visible" r:id="rId3"/>
    <sheet name="Resumen Ejecutivo" sheetId="2" state="visible" r:id="rId4"/>
    <sheet name="Controles N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<sst xmlns="http://schemas.openxmlformats.org/spreadsheetml/2006/main" count="346" uniqueCount="207">
  <si>
    <t xml:space="preserve">ID</t>
  </si>
  <si>
    <t xml:space="preserve">Componente</t>
  </si>
  <si>
    <t xml:space="preserve">Categoría STRIDE</t>
  </si>
  <si>
    <t xml:space="preserve">Descripción</t>
  </si>
  <si>
    <t xml:space="preserve">CWE</t>
  </si>
  <si>
    <t xml:space="preserve">Damage</t>
  </si>
  <si>
    <t xml:space="preserve">Reprod.</t>
  </si>
  <si>
    <t xml:space="preserve">Exploit.</t>
  </si>
  <si>
    <t xml:space="preserve">Affected</t>
  </si>
  <si>
    <t xml:space="preserve">Discov.</t>
  </si>
  <si>
    <t xml:space="preserve">TOTAL</t>
  </si>
  <si>
    <t xml:space="preserve">Nivel</t>
  </si>
  <si>
    <t xml:space="preserve">Control</t>
  </si>
  <si>
    <t xml:space="preserve">TH01</t>
  </si>
  <si>
    <t xml:space="preserve">API Gateway</t>
  </si>
  <si>
    <t xml:space="preserve">Spoofing</t>
  </si>
  <si>
    <t xml:space="preserve">Token JWT falsificado con secreto débil (HS256)</t>
  </si>
  <si>
    <t xml:space="preserve">CWE-287</t>
  </si>
  <si>
    <t xml:space="preserve">ALTO</t>
  </si>
  <si>
    <t xml:space="preserve">C02</t>
  </si>
  <si>
    <t xml:space="preserve">TH02</t>
  </si>
  <si>
    <t xml:space="preserve">Service Mesh</t>
  </si>
  <si>
    <t xml:space="preserve">Microservicio malicioso sin cert válido suplanta servicio</t>
  </si>
  <si>
    <t xml:space="preserve">CWE-295</t>
  </si>
  <si>
    <t xml:space="preserve">C04</t>
  </si>
  <si>
    <t xml:space="preserve">TH03</t>
  </si>
  <si>
    <t xml:space="preserve">Redis</t>
  </si>
  <si>
    <t xml:space="preserve">Session hijacking vía session ID robado</t>
  </si>
  <si>
    <t xml:space="preserve">CWE-384</t>
  </si>
  <si>
    <t xml:space="preserve">C03</t>
  </si>
  <si>
    <t xml:space="preserve">TH04</t>
  </si>
  <si>
    <t xml:space="preserve">API Calls</t>
  </si>
  <si>
    <t xml:space="preserve">API key theft desde código o logs</t>
  </si>
  <si>
    <t xml:space="preserve">CWE-798</t>
  </si>
  <si>
    <t xml:space="preserve">MEDIO</t>
  </si>
  <si>
    <t xml:space="preserve">TH05</t>
  </si>
  <si>
    <t xml:space="preserve">Tampering</t>
  </si>
  <si>
    <t xml:space="preserve">Manipulación de request params en vuelo</t>
  </si>
  <si>
    <t xml:space="preserve">CWE-20</t>
  </si>
  <si>
    <t xml:space="preserve">C05</t>
  </si>
  <si>
    <t xml:space="preserve">TH06</t>
  </si>
  <si>
    <t xml:space="preserve">PostgreSQL</t>
  </si>
  <si>
    <t xml:space="preserve">SQL Injection vía input no sanitizado</t>
  </si>
  <si>
    <t xml:space="preserve">CWE-89</t>
  </si>
  <si>
    <t xml:space="preserve">CRÍTICO</t>
  </si>
  <si>
    <t xml:space="preserve">TH07</t>
  </si>
  <si>
    <t xml:space="preserve">RabbitMQ</t>
  </si>
  <si>
    <t xml:space="preserve">Modificación de mensajes en cola</t>
  </si>
  <si>
    <t xml:space="preserve">CWE-345</t>
  </si>
  <si>
    <t xml:space="preserve">C06</t>
  </si>
  <si>
    <t xml:space="preserve">TH08</t>
  </si>
  <si>
    <t xml:space="preserve">Kubernetes</t>
  </si>
  <si>
    <t xml:space="preserve">ConfigMap/Secret modification en runtime</t>
  </si>
  <si>
    <t xml:space="preserve">CWE-732</t>
  </si>
  <si>
    <t xml:space="preserve">TH09</t>
  </si>
  <si>
    <t xml:space="preserve">Container Image</t>
  </si>
  <si>
    <t xml:space="preserve">Imagen Docker infectada en registry</t>
  </si>
  <si>
    <t xml:space="preserve">CWE-494</t>
  </si>
  <si>
    <t xml:space="preserve">C07</t>
  </si>
  <si>
    <t xml:space="preserve">TH10</t>
  </si>
  <si>
    <t xml:space="preserve">Repudiation</t>
  </si>
  <si>
    <t xml:space="preserve">Falta de trazabilidad de acciones</t>
  </si>
  <si>
    <t xml:space="preserve">CWE-778</t>
  </si>
  <si>
    <t xml:space="preserve">TH11</t>
  </si>
  <si>
    <t xml:space="preserve">Microservices</t>
  </si>
  <si>
    <t xml:space="preserve">Logs eliminados o modificados</t>
  </si>
  <si>
    <t xml:space="preserve">CWE-117</t>
  </si>
  <si>
    <t xml:space="preserve">TH12</t>
  </si>
  <si>
    <t xml:space="preserve">Transactions</t>
  </si>
  <si>
    <t xml:space="preserve">Usuario niega haber realizado compra</t>
  </si>
  <si>
    <t xml:space="preserve">CWE-284</t>
  </si>
  <si>
    <t xml:space="preserve">TH13</t>
  </si>
  <si>
    <t xml:space="preserve">Info Disclosure</t>
  </si>
  <si>
    <t xml:space="preserve">API responses verbosas exponen stack traces</t>
  </si>
  <si>
    <t xml:space="preserve">CWE-209</t>
  </si>
  <si>
    <t xml:space="preserve">TH14</t>
  </si>
  <si>
    <t xml:space="preserve">Logs</t>
  </si>
  <si>
    <t xml:space="preserve">PII en logs sin encriptar (emails, tokens)</t>
  </si>
  <si>
    <t xml:space="preserve">CWE-532</t>
  </si>
  <si>
    <t xml:space="preserve">TH15</t>
  </si>
  <si>
    <t xml:space="preserve">Memory dump de Redis expone sesiones</t>
  </si>
  <si>
    <t xml:space="preserve">CWE-316</t>
  </si>
  <si>
    <t xml:space="preserve">TH16</t>
  </si>
  <si>
    <t xml:space="preserve">Secrets en env vars accesibles vía API</t>
  </si>
  <si>
    <t xml:space="preserve">CWE-526</t>
  </si>
  <si>
    <t xml:space="preserve">TH17</t>
  </si>
  <si>
    <t xml:space="preserve">Error Messages</t>
  </si>
  <si>
    <t xml:space="preserve">Stack traces en producción</t>
  </si>
  <si>
    <t xml:space="preserve">TH18</t>
  </si>
  <si>
    <t xml:space="preserve">DoS</t>
  </si>
  <si>
    <t xml:space="preserve">Request flooding satura recursos (DDoS)</t>
  </si>
  <si>
    <t xml:space="preserve">CWE-770</t>
  </si>
  <si>
    <t xml:space="preserve">C01</t>
  </si>
  <si>
    <t xml:space="preserve">TH19</t>
  </si>
  <si>
    <t xml:space="preserve">Servicio consume toda CPU/memoria</t>
  </si>
  <si>
    <t xml:space="preserve">CWE-400</t>
  </si>
  <si>
    <t xml:space="preserve">TH20</t>
  </si>
  <si>
    <t xml:space="preserve">Connection pool exhaustion</t>
  </si>
  <si>
    <t xml:space="preserve">CWE-404</t>
  </si>
  <si>
    <t xml:space="preserve">TH21</t>
  </si>
  <si>
    <t xml:space="preserve">Queue flooding con mensajes maliciosos</t>
  </si>
  <si>
    <t xml:space="preserve">TH22</t>
  </si>
  <si>
    <t xml:space="preserve">Istio</t>
  </si>
  <si>
    <t xml:space="preserve">Control plane saturado</t>
  </si>
  <si>
    <t xml:space="preserve">TH23</t>
  </si>
  <si>
    <t xml:space="preserve">Elevation</t>
  </si>
  <si>
    <t xml:space="preserve">JWT claim manipulation para admin role</t>
  </si>
  <si>
    <t xml:space="preserve">CWE-269</t>
  </si>
  <si>
    <t xml:space="preserve">TH24</t>
  </si>
  <si>
    <t xml:space="preserve">Container escape a nodo host (runC CVE)</t>
  </si>
  <si>
    <t xml:space="preserve">CWE-250</t>
  </si>
  <si>
    <t xml:space="preserve">TH25</t>
  </si>
  <si>
    <t xml:space="preserve">IDOR — acceso a recursos de otro usuario</t>
  </si>
  <si>
    <t xml:space="preserve">CWE-639</t>
  </si>
  <si>
    <t xml:space="preserve">TH26</t>
  </si>
  <si>
    <t xml:space="preserve">Bypass de políticas de Istio</t>
  </si>
  <si>
    <t xml:space="preserve">CWE-863</t>
  </si>
  <si>
    <t xml:space="preserve">TH27</t>
  </si>
  <si>
    <t xml:space="preserve">RBAC</t>
  </si>
  <si>
    <t xml:space="preserve">Role misconfiguration (over-privileged)</t>
  </si>
  <si>
    <t xml:space="preserve">CWE-266</t>
  </si>
  <si>
    <t xml:space="preserve">Análisis de Riesgos — API Gateway para Microservicios</t>
  </si>
  <si>
    <t xml:space="preserve">Juan Lamolle · Serafín González · Fernando Rodríguez  |  26/05/2026</t>
  </si>
  <si>
    <t xml:space="preserve">Total amenazas identificadas</t>
  </si>
  <si>
    <t xml:space="preserve">Amenazas CRÍTICAS (DREAD ≥ 40)</t>
  </si>
  <si>
    <t xml:space="preserve">Amenazas ALTAS (30–39)</t>
  </si>
  <si>
    <t xml:space="preserve">Amenazas MEDIAS (20–29)</t>
  </si>
  <si>
    <t xml:space="preserve">Score DREAD promedio</t>
  </si>
  <si>
    <t xml:space="preserve">Score DREAD máximo</t>
  </si>
  <si>
    <t xml:space="preserve">Top 5 amenazas por score DREAD</t>
  </si>
  <si>
    <t xml:space="preserve">STRIDE</t>
  </si>
  <si>
    <t xml:space="preserve">Score</t>
  </si>
  <si>
    <t xml:space="preserve">Amenazas</t>
  </si>
  <si>
    <t xml:space="preserve">Críticas</t>
  </si>
  <si>
    <t xml:space="preserve">Altas</t>
  </si>
  <si>
    <t xml:space="preserve">Medias</t>
  </si>
  <si>
    <t xml:space="preserve">Nombre</t>
  </si>
  <si>
    <t xml:space="preserve">Detalle técnico</t>
  </si>
  <si>
    <t xml:space="preserve">NIST CSF</t>
  </si>
  <si>
    <t xml:space="preserve">ISO 27001</t>
  </si>
  <si>
    <t xml:space="preserve">OWASP API</t>
  </si>
  <si>
    <t xml:space="preserve">Sprint</t>
  </si>
  <si>
    <t xml:space="preserve">Prioridad</t>
  </si>
  <si>
    <t xml:space="preserve">Rate Limiting 3 capas</t>
  </si>
  <si>
    <t xml:space="preserve">WAF + Kong + Application</t>
  </si>
  <si>
    <t xml:space="preserve">TH18,TH19</t>
  </si>
  <si>
    <t xml:space="preserve">PR.AC-5</t>
  </si>
  <si>
    <t xml:space="preserve">A.13.1</t>
  </si>
  <si>
    <t xml:space="preserve">API4:2023</t>
  </si>
  <si>
    <t xml:space="preserve">Sprint 1</t>
  </si>
  <si>
    <t xml:space="preserve">P0</t>
  </si>
  <si>
    <t xml:space="preserve">JWT Secret Rotation + RS256</t>
  </si>
  <si>
    <t xml:space="preserve">Asymmetric keys, rotación 30d</t>
  </si>
  <si>
    <t xml:space="preserve">TH01,TH23</t>
  </si>
  <si>
    <t xml:space="preserve">PR.AC-1</t>
  </si>
  <si>
    <t xml:space="preserve">A.9.4</t>
  </si>
  <si>
    <t xml:space="preserve">API2:2023</t>
  </si>
  <si>
    <t xml:space="preserve">Log Scrubbing + Encryption</t>
  </si>
  <si>
    <t xml:space="preserve">Fluentd filters + Elasticsearch TLS</t>
  </si>
  <si>
    <t xml:space="preserve">TH14,TH10,TH11</t>
  </si>
  <si>
    <t xml:space="preserve">DE.CM-7</t>
  </si>
  <si>
    <t xml:space="preserve">A.12.4</t>
  </si>
  <si>
    <t xml:space="preserve">API3:2023</t>
  </si>
  <si>
    <t xml:space="preserve">External Secrets Operator</t>
  </si>
  <si>
    <t xml:space="preserve">Vault integration + auto-rotation</t>
  </si>
  <si>
    <t xml:space="preserve">TH16,TH08,TH27</t>
  </si>
  <si>
    <t xml:space="preserve">PR.AC-4</t>
  </si>
  <si>
    <t xml:space="preserve">A.9.2</t>
  </si>
  <si>
    <t xml:space="preserve">API8:2023</t>
  </si>
  <si>
    <t xml:space="preserve">Sprint 2</t>
  </si>
  <si>
    <t xml:space="preserve">Input Validation Framework</t>
  </si>
  <si>
    <t xml:space="preserve">Schema validation + Prepared stmts</t>
  </si>
  <si>
    <t xml:space="preserve">TH06,TH25,TH05,TH13</t>
  </si>
  <si>
    <t xml:space="preserve">PR.DS-5</t>
  </si>
  <si>
    <t xml:space="preserve">A.14.2</t>
  </si>
  <si>
    <t xml:space="preserve">API1:2023</t>
  </si>
  <si>
    <t xml:space="preserve">Connection Pooling + Auth</t>
  </si>
  <si>
    <t xml:space="preserve">PgBouncer + RabbitMQ credentials</t>
  </si>
  <si>
    <t xml:space="preserve">TH20,TH21,TH15</t>
  </si>
  <si>
    <t xml:space="preserve">PR.DS-2</t>
  </si>
  <si>
    <t xml:space="preserve">A.13.2</t>
  </si>
  <si>
    <t xml:space="preserve">API5:2023</t>
  </si>
  <si>
    <t xml:space="preserve">P1</t>
  </si>
  <si>
    <t xml:space="preserve">Security Contexts + Falco</t>
  </si>
  <si>
    <t xml:space="preserve">RuntimeClass + AppArmor profiles</t>
  </si>
  <si>
    <t xml:space="preserve">TH24,TH09,TH22</t>
  </si>
  <si>
    <t xml:space="preserve">DE.CM-8</t>
  </si>
  <si>
    <t xml:space="preserve">A.12.6</t>
  </si>
  <si>
    <t xml:space="preserve">API7:2023</t>
  </si>
  <si>
    <t xml:space="preserve">C08</t>
  </si>
  <si>
    <t xml:space="preserve">RBAC Hardening</t>
  </si>
  <si>
    <t xml:space="preserve">Least privilege + audit</t>
  </si>
  <si>
    <t xml:space="preserve">TH27,TH26</t>
  </si>
  <si>
    <t xml:space="preserve">PR.AC-6</t>
  </si>
  <si>
    <t xml:space="preserve">A.9.1</t>
  </si>
  <si>
    <t xml:space="preserve">C09</t>
  </si>
  <si>
    <t xml:space="preserve">WAF Rules + DDoS Shield</t>
  </si>
  <si>
    <t xml:space="preserve">AWS Shield / Cloudflare</t>
  </si>
  <si>
    <t xml:space="preserve">TH18,TH13</t>
  </si>
  <si>
    <t xml:space="preserve">PR.IP-1</t>
  </si>
  <si>
    <t xml:space="preserve">Sprint 3</t>
  </si>
  <si>
    <t xml:space="preserve">P2</t>
  </si>
  <si>
    <t xml:space="preserve">C10</t>
  </si>
  <si>
    <t xml:space="preserve">mTLS Cert Pinning</t>
  </si>
  <si>
    <t xml:space="preserve">Istio PeerAuthentication STRICT</t>
  </si>
  <si>
    <t xml:space="preserve">TH02,TH26</t>
  </si>
  <si>
    <t xml:space="preserve">A.14.1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</si>
</sst>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8350F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4"/>
      <color rgb="FF0F172A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AEEDA"/>
        <bgColor rgb="FFEAF3DE"/>
      </patternFill>
    </fill>
    <fill>
      <patternFill patternType="solid">
        <fgColor rgb="FFEAF3DE"/>
        <bgColor rgb="FFFAEEDA"/>
      </patternFill>
    </fill>
    <fill>
      <patternFill patternType="solid">
        <fgColor rgb="FFFEE2E2"/>
        <bgColor rgb="FFFAEEDA"/>
      </patternFill>
    </fill>
    <fill>
      <patternFill patternType="solid">
        <fgColor rgb="FF1D4ED8"/>
        <bgColor rgb="FF3366FF"/>
      </patternFill>
    </fill>
    <fill>
      <patternFill patternType="solid">
        <fgColor rgb="FF334155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E2E8F0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3DE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78350F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6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10" min="6" style="0" width="9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1.5" hidden="false" customHeight="true" outlineLevel="0" collapsed="false">
      <c r="A2" s="2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2" t="n">
        <v>9</v>
      </c>
      <c r="G2" s="2" t="n">
        <v>9</v>
      </c>
      <c r="H2" s="2" t="n">
        <v>5</v>
      </c>
      <c r="I2" s="2" t="n">
        <v>9</v>
      </c>
      <c r="J2" s="2" t="n">
        <v>7</v>
      </c>
      <c r="K2" s="4" t="n">
        <f aca="false">SUM(F2:J2)</f>
        <v>39</v>
      </c>
      <c r="L2" s="5" t="s">
        <v>18</v>
      </c>
      <c r="M2" s="2" t="s">
        <v>19</v>
      </c>
    </row>
    <row r="3" customFormat="false" ht="31.5" hidden="false" customHeight="true" outlineLevel="0" collapsed="false">
      <c r="A3" s="2" t="s">
        <v>20</v>
      </c>
      <c r="B3" s="2" t="s">
        <v>21</v>
      </c>
      <c r="C3" s="2" t="s">
        <v>15</v>
      </c>
      <c r="D3" s="3" t="s">
        <v>22</v>
      </c>
      <c r="E3" s="2" t="s">
        <v>23</v>
      </c>
      <c r="F3" s="2" t="n">
        <v>8</v>
      </c>
      <c r="G3" s="2" t="n">
        <v>5</v>
      </c>
      <c r="H3" s="2" t="n">
        <v>5</v>
      </c>
      <c r="I3" s="2" t="n">
        <v>8</v>
      </c>
      <c r="J3" s="2" t="n">
        <v>5</v>
      </c>
      <c r="K3" s="4" t="n">
        <f aca="false">SUM(F3:J3)</f>
        <v>31</v>
      </c>
      <c r="L3" s="5" t="s">
        <v>18</v>
      </c>
      <c r="M3" s="2" t="s">
        <v>24</v>
      </c>
    </row>
    <row r="4" customFormat="false" ht="31.5" hidden="false" customHeight="true" outlineLevel="0" collapsed="false">
      <c r="A4" s="2" t="s">
        <v>25</v>
      </c>
      <c r="B4" s="2" t="s">
        <v>26</v>
      </c>
      <c r="C4" s="2" t="s">
        <v>15</v>
      </c>
      <c r="D4" s="3" t="s">
        <v>27</v>
      </c>
      <c r="E4" s="2" t="s">
        <v>28</v>
      </c>
      <c r="F4" s="2" t="n">
        <v>8</v>
      </c>
      <c r="G4" s="2" t="n">
        <v>7</v>
      </c>
      <c r="H4" s="2" t="n">
        <v>6</v>
      </c>
      <c r="I4" s="2" t="n">
        <v>7</v>
      </c>
      <c r="J4" s="2" t="n">
        <v>7</v>
      </c>
      <c r="K4" s="4" t="n">
        <f aca="false">SUM(F4:J4)</f>
        <v>35</v>
      </c>
      <c r="L4" s="5" t="s">
        <v>18</v>
      </c>
      <c r="M4" s="2" t="s">
        <v>29</v>
      </c>
    </row>
    <row r="5" customFormat="false" ht="31.5" hidden="false" customHeight="true" outlineLevel="0" collapsed="false">
      <c r="A5" s="2" t="s">
        <v>30</v>
      </c>
      <c r="B5" s="2" t="s">
        <v>31</v>
      </c>
      <c r="C5" s="2" t="s">
        <v>15</v>
      </c>
      <c r="D5" s="3" t="s">
        <v>32</v>
      </c>
      <c r="E5" s="2" t="s">
        <v>33</v>
      </c>
      <c r="F5" s="2" t="n">
        <v>6</v>
      </c>
      <c r="G5" s="2" t="n">
        <v>6</v>
      </c>
      <c r="H5" s="2" t="n">
        <v>6</v>
      </c>
      <c r="I5" s="2" t="n">
        <v>5</v>
      </c>
      <c r="J5" s="2" t="n">
        <v>6</v>
      </c>
      <c r="K5" s="6" t="n">
        <f aca="false">SUM(F5:J5)</f>
        <v>29</v>
      </c>
      <c r="L5" s="7" t="s">
        <v>34</v>
      </c>
      <c r="M5" s="2" t="s">
        <v>24</v>
      </c>
    </row>
    <row r="6" customFormat="false" ht="31.5" hidden="false" customHeight="true" outlineLevel="0" collapsed="false">
      <c r="A6" s="2" t="s">
        <v>35</v>
      </c>
      <c r="B6" s="2" t="s">
        <v>14</v>
      </c>
      <c r="C6" s="2" t="s">
        <v>36</v>
      </c>
      <c r="D6" s="3" t="s">
        <v>37</v>
      </c>
      <c r="E6" s="2" t="s">
        <v>38</v>
      </c>
      <c r="F6" s="2" t="n">
        <v>6</v>
      </c>
      <c r="G6" s="2" t="n">
        <v>8</v>
      </c>
      <c r="H6" s="2" t="n">
        <v>7</v>
      </c>
      <c r="I6" s="2" t="n">
        <v>6</v>
      </c>
      <c r="J6" s="2" t="n">
        <v>7</v>
      </c>
      <c r="K6" s="4" t="n">
        <f aca="false">SUM(F6:J6)</f>
        <v>34</v>
      </c>
      <c r="L6" s="5" t="s">
        <v>18</v>
      </c>
      <c r="M6" s="2" t="s">
        <v>39</v>
      </c>
    </row>
    <row r="7" customFormat="false" ht="31.5" hidden="false" customHeight="true" outlineLevel="0" collapsed="false">
      <c r="A7" s="2" t="s">
        <v>40</v>
      </c>
      <c r="B7" s="2" t="s">
        <v>41</v>
      </c>
      <c r="C7" s="2" t="s">
        <v>36</v>
      </c>
      <c r="D7" s="3" t="s">
        <v>42</v>
      </c>
      <c r="E7" s="2" t="s">
        <v>43</v>
      </c>
      <c r="F7" s="2" t="n">
        <v>10</v>
      </c>
      <c r="G7" s="2" t="n">
        <v>8</v>
      </c>
      <c r="H7" s="2" t="n">
        <v>6</v>
      </c>
      <c r="I7" s="2" t="n">
        <v>9</v>
      </c>
      <c r="J7" s="2" t="n">
        <v>8</v>
      </c>
      <c r="K7" s="8" t="n">
        <f aca="false">SUM(F7:J7)</f>
        <v>41</v>
      </c>
      <c r="L7" s="9" t="s">
        <v>44</v>
      </c>
      <c r="M7" s="2" t="s">
        <v>39</v>
      </c>
    </row>
    <row r="8" customFormat="false" ht="31.5" hidden="false" customHeight="true" outlineLevel="0" collapsed="false">
      <c r="A8" s="2" t="s">
        <v>45</v>
      </c>
      <c r="B8" s="2" t="s">
        <v>46</v>
      </c>
      <c r="C8" s="2" t="s">
        <v>36</v>
      </c>
      <c r="D8" s="3" t="s">
        <v>47</v>
      </c>
      <c r="E8" s="2" t="s">
        <v>48</v>
      </c>
      <c r="F8" s="2" t="n">
        <v>7</v>
      </c>
      <c r="G8" s="2" t="n">
        <v>6</v>
      </c>
      <c r="H8" s="2" t="n">
        <v>5</v>
      </c>
      <c r="I8" s="2" t="n">
        <v>7</v>
      </c>
      <c r="J8" s="2" t="n">
        <v>5</v>
      </c>
      <c r="K8" s="4" t="n">
        <f aca="false">SUM(F8:J8)</f>
        <v>30</v>
      </c>
      <c r="L8" s="5" t="s">
        <v>18</v>
      </c>
      <c r="M8" s="2" t="s">
        <v>49</v>
      </c>
    </row>
    <row r="9" customFormat="false" ht="31.5" hidden="false" customHeight="true" outlineLevel="0" collapsed="false">
      <c r="A9" s="2" t="s">
        <v>50</v>
      </c>
      <c r="B9" s="2" t="s">
        <v>51</v>
      </c>
      <c r="C9" s="2" t="s">
        <v>36</v>
      </c>
      <c r="D9" s="3" t="s">
        <v>52</v>
      </c>
      <c r="E9" s="2" t="s">
        <v>53</v>
      </c>
      <c r="F9" s="2" t="n">
        <v>8</v>
      </c>
      <c r="G9" s="2" t="n">
        <v>5</v>
      </c>
      <c r="H9" s="2" t="n">
        <v>4</v>
      </c>
      <c r="I9" s="2" t="n">
        <v>7</v>
      </c>
      <c r="J9" s="2" t="n">
        <v>5</v>
      </c>
      <c r="K9" s="6" t="n">
        <f aca="false">SUM(F9:J9)</f>
        <v>29</v>
      </c>
      <c r="L9" s="7" t="s">
        <v>34</v>
      </c>
      <c r="M9" s="2" t="s">
        <v>24</v>
      </c>
    </row>
    <row r="10" customFormat="false" ht="31.5" hidden="false" customHeight="true" outlineLevel="0" collapsed="false">
      <c r="A10" s="2" t="s">
        <v>54</v>
      </c>
      <c r="B10" s="2" t="s">
        <v>55</v>
      </c>
      <c r="C10" s="2" t="s">
        <v>36</v>
      </c>
      <c r="D10" s="3" t="s">
        <v>56</v>
      </c>
      <c r="E10" s="2" t="s">
        <v>57</v>
      </c>
      <c r="F10" s="2" t="n">
        <v>10</v>
      </c>
      <c r="G10" s="2" t="n">
        <v>8</v>
      </c>
      <c r="H10" s="2" t="n">
        <v>6</v>
      </c>
      <c r="I10" s="2" t="n">
        <v>10</v>
      </c>
      <c r="J10" s="2" t="n">
        <v>5</v>
      </c>
      <c r="K10" s="4" t="n">
        <f aca="false">SUM(F10:J10)</f>
        <v>39</v>
      </c>
      <c r="L10" s="5" t="s">
        <v>18</v>
      </c>
      <c r="M10" s="2" t="s">
        <v>58</v>
      </c>
    </row>
    <row r="11" customFormat="false" ht="31.5" hidden="false" customHeight="true" outlineLevel="0" collapsed="false">
      <c r="A11" s="2" t="s">
        <v>59</v>
      </c>
      <c r="B11" s="2" t="s">
        <v>14</v>
      </c>
      <c r="C11" s="2" t="s">
        <v>60</v>
      </c>
      <c r="D11" s="3" t="s">
        <v>61</v>
      </c>
      <c r="E11" s="2" t="s">
        <v>62</v>
      </c>
      <c r="F11" s="2" t="n">
        <v>6</v>
      </c>
      <c r="G11" s="2" t="n">
        <v>7</v>
      </c>
      <c r="H11" s="2" t="n">
        <v>6</v>
      </c>
      <c r="I11" s="2" t="n">
        <v>7</v>
      </c>
      <c r="J11" s="2" t="n">
        <v>6</v>
      </c>
      <c r="K11" s="4" t="n">
        <f aca="false">SUM(F11:J11)</f>
        <v>32</v>
      </c>
      <c r="L11" s="5" t="s">
        <v>18</v>
      </c>
      <c r="M11" s="2" t="s">
        <v>29</v>
      </c>
    </row>
    <row r="12" customFormat="false" ht="31.5" hidden="false" customHeight="true" outlineLevel="0" collapsed="false">
      <c r="A12" s="2" t="s">
        <v>63</v>
      </c>
      <c r="B12" s="2" t="s">
        <v>64</v>
      </c>
      <c r="C12" s="2" t="s">
        <v>60</v>
      </c>
      <c r="D12" s="3" t="s">
        <v>65</v>
      </c>
      <c r="E12" s="2" t="s">
        <v>66</v>
      </c>
      <c r="F12" s="2" t="n">
        <v>7</v>
      </c>
      <c r="G12" s="2" t="n">
        <v>6</v>
      </c>
      <c r="H12" s="2" t="n">
        <v>5</v>
      </c>
      <c r="I12" s="2" t="n">
        <v>8</v>
      </c>
      <c r="J12" s="2" t="n">
        <v>5</v>
      </c>
      <c r="K12" s="4" t="n">
        <f aca="false">SUM(F12:J12)</f>
        <v>31</v>
      </c>
      <c r="L12" s="5" t="s">
        <v>18</v>
      </c>
      <c r="M12" s="2" t="s">
        <v>29</v>
      </c>
    </row>
    <row r="13" customFormat="false" ht="31.5" hidden="false" customHeight="true" outlineLevel="0" collapsed="false">
      <c r="A13" s="2" t="s">
        <v>67</v>
      </c>
      <c r="B13" s="2" t="s">
        <v>68</v>
      </c>
      <c r="C13" s="2" t="s">
        <v>60</v>
      </c>
      <c r="D13" s="3" t="s">
        <v>69</v>
      </c>
      <c r="E13" s="2" t="s">
        <v>70</v>
      </c>
      <c r="F13" s="2" t="n">
        <v>5</v>
      </c>
      <c r="G13" s="2" t="n">
        <v>5</v>
      </c>
      <c r="H13" s="2" t="n">
        <v>5</v>
      </c>
      <c r="I13" s="2" t="n">
        <v>6</v>
      </c>
      <c r="J13" s="2" t="n">
        <v>5</v>
      </c>
      <c r="K13" s="6" t="n">
        <f aca="false">SUM(F13:J13)</f>
        <v>26</v>
      </c>
      <c r="L13" s="7" t="s">
        <v>34</v>
      </c>
      <c r="M13" s="2" t="s">
        <v>29</v>
      </c>
    </row>
    <row r="14" customFormat="false" ht="31.5" hidden="false" customHeight="true" outlineLevel="0" collapsed="false">
      <c r="A14" s="2" t="s">
        <v>71</v>
      </c>
      <c r="B14" s="2" t="s">
        <v>14</v>
      </c>
      <c r="C14" s="2" t="s">
        <v>72</v>
      </c>
      <c r="D14" s="3" t="s">
        <v>73</v>
      </c>
      <c r="E14" s="2" t="s">
        <v>74</v>
      </c>
      <c r="F14" s="2" t="n">
        <v>5</v>
      </c>
      <c r="G14" s="2" t="n">
        <v>8</v>
      </c>
      <c r="H14" s="2" t="n">
        <v>8</v>
      </c>
      <c r="I14" s="2" t="n">
        <v>6</v>
      </c>
      <c r="J14" s="2" t="n">
        <v>8</v>
      </c>
      <c r="K14" s="4" t="n">
        <f aca="false">SUM(F14:J14)</f>
        <v>35</v>
      </c>
      <c r="L14" s="5" t="s">
        <v>18</v>
      </c>
      <c r="M14" s="2" t="s">
        <v>39</v>
      </c>
    </row>
    <row r="15" customFormat="false" ht="31.5" hidden="false" customHeight="true" outlineLevel="0" collapsed="false">
      <c r="A15" s="2" t="s">
        <v>75</v>
      </c>
      <c r="B15" s="2" t="s">
        <v>76</v>
      </c>
      <c r="C15" s="2" t="s">
        <v>72</v>
      </c>
      <c r="D15" s="3" t="s">
        <v>77</v>
      </c>
      <c r="E15" s="2" t="s">
        <v>78</v>
      </c>
      <c r="F15" s="2" t="n">
        <v>10</v>
      </c>
      <c r="G15" s="2" t="n">
        <v>9</v>
      </c>
      <c r="H15" s="2" t="n">
        <v>6</v>
      </c>
      <c r="I15" s="2" t="n">
        <v>8</v>
      </c>
      <c r="J15" s="2" t="n">
        <v>7</v>
      </c>
      <c r="K15" s="8" t="n">
        <f aca="false">SUM(F15:J15)</f>
        <v>40</v>
      </c>
      <c r="L15" s="9" t="s">
        <v>44</v>
      </c>
      <c r="M15" s="2" t="s">
        <v>29</v>
      </c>
    </row>
    <row r="16" customFormat="false" ht="31.5" hidden="false" customHeight="true" outlineLevel="0" collapsed="false">
      <c r="A16" s="2" t="s">
        <v>79</v>
      </c>
      <c r="B16" s="2" t="s">
        <v>26</v>
      </c>
      <c r="C16" s="2" t="s">
        <v>72</v>
      </c>
      <c r="D16" s="3" t="s">
        <v>80</v>
      </c>
      <c r="E16" s="2" t="s">
        <v>81</v>
      </c>
      <c r="F16" s="2" t="n">
        <v>7</v>
      </c>
      <c r="G16" s="2" t="n">
        <v>5</v>
      </c>
      <c r="H16" s="2" t="n">
        <v>4</v>
      </c>
      <c r="I16" s="2" t="n">
        <v>6</v>
      </c>
      <c r="J16" s="2" t="n">
        <v>4</v>
      </c>
      <c r="K16" s="6" t="n">
        <f aca="false">SUM(F16:J16)</f>
        <v>26</v>
      </c>
      <c r="L16" s="7" t="s">
        <v>34</v>
      </c>
      <c r="M16" s="2" t="s">
        <v>49</v>
      </c>
    </row>
    <row r="17" customFormat="false" ht="31.5" hidden="false" customHeight="true" outlineLevel="0" collapsed="false">
      <c r="A17" s="2" t="s">
        <v>82</v>
      </c>
      <c r="B17" s="2" t="s">
        <v>51</v>
      </c>
      <c r="C17" s="2" t="s">
        <v>72</v>
      </c>
      <c r="D17" s="3" t="s">
        <v>83</v>
      </c>
      <c r="E17" s="2" t="s">
        <v>84</v>
      </c>
      <c r="F17" s="2" t="n">
        <v>10</v>
      </c>
      <c r="G17" s="2" t="n">
        <v>8</v>
      </c>
      <c r="H17" s="2" t="n">
        <v>5</v>
      </c>
      <c r="I17" s="2" t="n">
        <v>9</v>
      </c>
      <c r="J17" s="2" t="n">
        <v>6</v>
      </c>
      <c r="K17" s="4" t="n">
        <f aca="false">SUM(F17:J17)</f>
        <v>38</v>
      </c>
      <c r="L17" s="5" t="s">
        <v>18</v>
      </c>
      <c r="M17" s="2" t="s">
        <v>24</v>
      </c>
    </row>
    <row r="18" customFormat="false" ht="31.5" hidden="false" customHeight="true" outlineLevel="0" collapsed="false">
      <c r="A18" s="2" t="s">
        <v>85</v>
      </c>
      <c r="B18" s="2" t="s">
        <v>86</v>
      </c>
      <c r="C18" s="2" t="s">
        <v>72</v>
      </c>
      <c r="D18" s="3" t="s">
        <v>87</v>
      </c>
      <c r="E18" s="2" t="s">
        <v>74</v>
      </c>
      <c r="F18" s="2" t="n">
        <v>4</v>
      </c>
      <c r="G18" s="2" t="n">
        <v>8</v>
      </c>
      <c r="H18" s="2" t="n">
        <v>8</v>
      </c>
      <c r="I18" s="2" t="n">
        <v>5</v>
      </c>
      <c r="J18" s="2" t="n">
        <v>8</v>
      </c>
      <c r="K18" s="4" t="n">
        <f aca="false">SUM(F18:J18)</f>
        <v>33</v>
      </c>
      <c r="L18" s="5" t="s">
        <v>18</v>
      </c>
      <c r="M18" s="2" t="s">
        <v>39</v>
      </c>
    </row>
    <row r="19" customFormat="false" ht="31.5" hidden="false" customHeight="true" outlineLevel="0" collapsed="false">
      <c r="A19" s="2" t="s">
        <v>88</v>
      </c>
      <c r="B19" s="2" t="s">
        <v>14</v>
      </c>
      <c r="C19" s="2" t="s">
        <v>89</v>
      </c>
      <c r="D19" s="3" t="s">
        <v>90</v>
      </c>
      <c r="E19" s="2" t="s">
        <v>91</v>
      </c>
      <c r="F19" s="2" t="n">
        <v>9</v>
      </c>
      <c r="G19" s="2" t="n">
        <v>10</v>
      </c>
      <c r="H19" s="2" t="n">
        <v>9</v>
      </c>
      <c r="I19" s="2" t="n">
        <v>10</v>
      </c>
      <c r="J19" s="2" t="n">
        <v>8</v>
      </c>
      <c r="K19" s="8" t="n">
        <f aca="false">SUM(F19:J19)</f>
        <v>46</v>
      </c>
      <c r="L19" s="9" t="s">
        <v>44</v>
      </c>
      <c r="M19" s="2" t="s">
        <v>92</v>
      </c>
    </row>
    <row r="20" customFormat="false" ht="31.5" hidden="false" customHeight="true" outlineLevel="0" collapsed="false">
      <c r="A20" s="2" t="s">
        <v>93</v>
      </c>
      <c r="B20" s="2" t="s">
        <v>64</v>
      </c>
      <c r="C20" s="2" t="s">
        <v>89</v>
      </c>
      <c r="D20" s="3" t="s">
        <v>94</v>
      </c>
      <c r="E20" s="2" t="s">
        <v>95</v>
      </c>
      <c r="F20" s="2" t="n">
        <v>8</v>
      </c>
      <c r="G20" s="2" t="n">
        <v>7</v>
      </c>
      <c r="H20" s="2" t="n">
        <v>7</v>
      </c>
      <c r="I20" s="2" t="n">
        <v>8</v>
      </c>
      <c r="J20" s="2" t="n">
        <v>6</v>
      </c>
      <c r="K20" s="4" t="n">
        <f aca="false">SUM(F20:J20)</f>
        <v>36</v>
      </c>
      <c r="L20" s="5" t="s">
        <v>18</v>
      </c>
      <c r="M20" s="2" t="s">
        <v>92</v>
      </c>
    </row>
    <row r="21" customFormat="false" ht="31.5" hidden="false" customHeight="true" outlineLevel="0" collapsed="false">
      <c r="A21" s="2" t="s">
        <v>96</v>
      </c>
      <c r="B21" s="2" t="s">
        <v>41</v>
      </c>
      <c r="C21" s="2" t="s">
        <v>89</v>
      </c>
      <c r="D21" s="3" t="s">
        <v>97</v>
      </c>
      <c r="E21" s="2" t="s">
        <v>98</v>
      </c>
      <c r="F21" s="2" t="n">
        <v>8</v>
      </c>
      <c r="G21" s="2" t="n">
        <v>6</v>
      </c>
      <c r="H21" s="2" t="n">
        <v>6</v>
      </c>
      <c r="I21" s="2" t="n">
        <v>9</v>
      </c>
      <c r="J21" s="2" t="n">
        <v>6</v>
      </c>
      <c r="K21" s="4" t="n">
        <f aca="false">SUM(F21:J21)</f>
        <v>35</v>
      </c>
      <c r="L21" s="5" t="s">
        <v>18</v>
      </c>
      <c r="M21" s="2" t="s">
        <v>49</v>
      </c>
    </row>
    <row r="22" customFormat="false" ht="31.5" hidden="false" customHeight="true" outlineLevel="0" collapsed="false">
      <c r="A22" s="2" t="s">
        <v>99</v>
      </c>
      <c r="B22" s="2" t="s">
        <v>46</v>
      </c>
      <c r="C22" s="2" t="s">
        <v>89</v>
      </c>
      <c r="D22" s="3" t="s">
        <v>100</v>
      </c>
      <c r="E22" s="2" t="s">
        <v>91</v>
      </c>
      <c r="F22" s="2" t="n">
        <v>7</v>
      </c>
      <c r="G22" s="2" t="n">
        <v>7</v>
      </c>
      <c r="H22" s="2" t="n">
        <v>6</v>
      </c>
      <c r="I22" s="2" t="n">
        <v>7</v>
      </c>
      <c r="J22" s="2" t="n">
        <v>6</v>
      </c>
      <c r="K22" s="4" t="n">
        <f aca="false">SUM(F22:J22)</f>
        <v>33</v>
      </c>
      <c r="L22" s="5" t="s">
        <v>18</v>
      </c>
      <c r="M22" s="2" t="s">
        <v>49</v>
      </c>
    </row>
    <row r="23" customFormat="false" ht="31.5" hidden="false" customHeight="true" outlineLevel="0" collapsed="false">
      <c r="A23" s="2" t="s">
        <v>101</v>
      </c>
      <c r="B23" s="2" t="s">
        <v>102</v>
      </c>
      <c r="C23" s="2" t="s">
        <v>89</v>
      </c>
      <c r="D23" s="3" t="s">
        <v>103</v>
      </c>
      <c r="E23" s="2" t="s">
        <v>95</v>
      </c>
      <c r="F23" s="2" t="n">
        <v>8</v>
      </c>
      <c r="G23" s="2" t="n">
        <v>4</v>
      </c>
      <c r="H23" s="2" t="n">
        <v>4</v>
      </c>
      <c r="I23" s="2" t="n">
        <v>8</v>
      </c>
      <c r="J23" s="2" t="n">
        <v>4</v>
      </c>
      <c r="K23" s="6" t="n">
        <f aca="false">SUM(F23:J23)</f>
        <v>28</v>
      </c>
      <c r="L23" s="7" t="s">
        <v>34</v>
      </c>
      <c r="M23" s="2" t="s">
        <v>58</v>
      </c>
    </row>
    <row r="24" customFormat="false" ht="31.5" hidden="false" customHeight="true" outlineLevel="0" collapsed="false">
      <c r="A24" s="2" t="s">
        <v>104</v>
      </c>
      <c r="B24" s="2" t="s">
        <v>14</v>
      </c>
      <c r="C24" s="2" t="s">
        <v>105</v>
      </c>
      <c r="D24" s="3" t="s">
        <v>106</v>
      </c>
      <c r="E24" s="2" t="s">
        <v>107</v>
      </c>
      <c r="F24" s="2" t="n">
        <v>9</v>
      </c>
      <c r="G24" s="2" t="n">
        <v>7</v>
      </c>
      <c r="H24" s="2" t="n">
        <v>6</v>
      </c>
      <c r="I24" s="2" t="n">
        <v>8</v>
      </c>
      <c r="J24" s="2" t="n">
        <v>7</v>
      </c>
      <c r="K24" s="4" t="n">
        <f aca="false">SUM(F24:J24)</f>
        <v>37</v>
      </c>
      <c r="L24" s="5" t="s">
        <v>18</v>
      </c>
      <c r="M24" s="2" t="s">
        <v>19</v>
      </c>
    </row>
    <row r="25" customFormat="false" ht="31.5" hidden="false" customHeight="true" outlineLevel="0" collapsed="false">
      <c r="A25" s="2" t="s">
        <v>108</v>
      </c>
      <c r="B25" s="2" t="s">
        <v>51</v>
      </c>
      <c r="C25" s="2" t="s">
        <v>105</v>
      </c>
      <c r="D25" s="3" t="s">
        <v>109</v>
      </c>
      <c r="E25" s="2" t="s">
        <v>110</v>
      </c>
      <c r="F25" s="2" t="n">
        <v>10</v>
      </c>
      <c r="G25" s="2" t="n">
        <v>5</v>
      </c>
      <c r="H25" s="2" t="n">
        <v>4</v>
      </c>
      <c r="I25" s="2" t="n">
        <v>9</v>
      </c>
      <c r="J25" s="2" t="n">
        <v>5</v>
      </c>
      <c r="K25" s="4" t="n">
        <f aca="false">SUM(F25:J25)</f>
        <v>33</v>
      </c>
      <c r="L25" s="5" t="s">
        <v>18</v>
      </c>
      <c r="M25" s="2" t="s">
        <v>58</v>
      </c>
    </row>
    <row r="26" customFormat="false" ht="31.5" hidden="false" customHeight="true" outlineLevel="0" collapsed="false">
      <c r="A26" s="2" t="s">
        <v>111</v>
      </c>
      <c r="B26" s="2" t="s">
        <v>64</v>
      </c>
      <c r="C26" s="2" t="s">
        <v>105</v>
      </c>
      <c r="D26" s="3" t="s">
        <v>112</v>
      </c>
      <c r="E26" s="2" t="s">
        <v>113</v>
      </c>
      <c r="F26" s="2" t="n">
        <v>7</v>
      </c>
      <c r="G26" s="2" t="n">
        <v>9</v>
      </c>
      <c r="H26" s="2" t="n">
        <v>9</v>
      </c>
      <c r="I26" s="2" t="n">
        <v>8</v>
      </c>
      <c r="J26" s="2" t="n">
        <v>9</v>
      </c>
      <c r="K26" s="8" t="n">
        <f aca="false">SUM(F26:J26)</f>
        <v>42</v>
      </c>
      <c r="L26" s="9" t="s">
        <v>44</v>
      </c>
      <c r="M26" s="2" t="s">
        <v>39</v>
      </c>
    </row>
    <row r="27" customFormat="false" ht="31.5" hidden="false" customHeight="true" outlineLevel="0" collapsed="false">
      <c r="A27" s="2" t="s">
        <v>114</v>
      </c>
      <c r="B27" s="2" t="s">
        <v>21</v>
      </c>
      <c r="C27" s="2" t="s">
        <v>105</v>
      </c>
      <c r="D27" s="3" t="s">
        <v>115</v>
      </c>
      <c r="E27" s="2" t="s">
        <v>116</v>
      </c>
      <c r="F27" s="2" t="n">
        <v>8</v>
      </c>
      <c r="G27" s="2" t="n">
        <v>5</v>
      </c>
      <c r="H27" s="2" t="n">
        <v>4</v>
      </c>
      <c r="I27" s="2" t="n">
        <v>8</v>
      </c>
      <c r="J27" s="2" t="n">
        <v>5</v>
      </c>
      <c r="K27" s="4" t="n">
        <f aca="false">SUM(F27:J27)</f>
        <v>30</v>
      </c>
      <c r="L27" s="5" t="s">
        <v>18</v>
      </c>
      <c r="M27" s="2" t="s">
        <v>58</v>
      </c>
    </row>
    <row r="28" customFormat="false" ht="31.5" hidden="false" customHeight="true" outlineLevel="0" collapsed="false">
      <c r="A28" s="2" t="s">
        <v>117</v>
      </c>
      <c r="B28" s="2" t="s">
        <v>118</v>
      </c>
      <c r="C28" s="2" t="s">
        <v>105</v>
      </c>
      <c r="D28" s="3" t="s">
        <v>119</v>
      </c>
      <c r="E28" s="2" t="s">
        <v>120</v>
      </c>
      <c r="F28" s="2" t="n">
        <v>7</v>
      </c>
      <c r="G28" s="2" t="n">
        <v>6</v>
      </c>
      <c r="H28" s="2" t="n">
        <v>5</v>
      </c>
      <c r="I28" s="2" t="n">
        <v>6</v>
      </c>
      <c r="J28" s="2" t="n">
        <v>6</v>
      </c>
      <c r="K28" s="4" t="n">
        <f aca="false">SUM(F28:J28)</f>
        <v>30</v>
      </c>
      <c r="L28" s="5" t="s">
        <v>18</v>
      </c>
      <c r="M28" s="2" t="s">
        <v>24</v>
      </c>
    </row>
  </sheetData>
  <conditionalFormatting sqref="F2:F28">
    <cfRule type="colorScale" priority="2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G2:G28">
    <cfRule type="colorScale" priority="3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H2:H28">
    <cfRule type="colorScale" priority="4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I2:I28">
    <cfRule type="colorScale" priority="5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J2:J28">
    <cfRule type="colorScale" priority="6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K2:K28">
    <cfRule type="colorScale" priority="7">
      <colorScale>
        <cfvo type="num" val="10"/>
        <cfvo type="num" val="30"/>
        <cfvo type="num" val="5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0"/>
  </cols>
  <sheetData>
    <row r="1" customFormat="false" ht="17.35" hidden="false" customHeight="false" outlineLevel="0" collapsed="false">
      <c r="A1" s="10" t="s">
        <v>121</v>
      </c>
    </row>
    <row r="2" customFormat="false" ht="15" hidden="false" customHeight="false" outlineLevel="0" collapsed="false">
      <c r="A2" s="11" t="s">
        <v>122</v>
      </c>
    </row>
    <row r="3" customFormat="false" ht="15" hidden="false" customHeight="false" outlineLevel="0" collapsed="false">
      <c r="A3" s="12" t="s">
        <v>123</v>
      </c>
      <c r="B3" s="13" t="n">
        <v>27</v>
      </c>
    </row>
    <row r="4" customFormat="false" ht="15" hidden="false" customHeight="false" outlineLevel="0" collapsed="false">
      <c r="A4" s="12" t="s">
        <v>124</v>
      </c>
      <c r="B4" s="13" t="n">
        <v>4</v>
      </c>
    </row>
    <row r="5" customFormat="false" ht="15" hidden="false" customHeight="false" outlineLevel="0" collapsed="false">
      <c r="A5" s="12" t="s">
        <v>125</v>
      </c>
      <c r="B5" s="13" t="n">
        <v>18</v>
      </c>
    </row>
    <row r="6" customFormat="false" ht="15" hidden="false" customHeight="false" outlineLevel="0" collapsed="false">
      <c r="A6" s="12" t="s">
        <v>126</v>
      </c>
      <c r="B6" s="13" t="n">
        <v>5</v>
      </c>
    </row>
    <row r="7" customFormat="false" ht="15" hidden="false" customHeight="false" outlineLevel="0" collapsed="false">
      <c r="A7" s="12" t="s">
        <v>127</v>
      </c>
      <c r="B7" s="13" t="n">
        <v>34</v>
      </c>
    </row>
    <row r="8" customFormat="false" ht="15" hidden="false" customHeight="false" outlineLevel="0" collapsed="false">
      <c r="A8" s="12" t="s">
        <v>128</v>
      </c>
      <c r="B8" s="13" t="n">
        <v>46</v>
      </c>
    </row>
    <row r="10" customFormat="false" ht="15" hidden="false" customHeight="false" outlineLevel="0" collapsed="false">
      <c r="A10" s="14" t="s">
        <v>129</v>
      </c>
    </row>
    <row r="11" customFormat="false" ht="15" hidden="false" customHeight="false" outlineLevel="0" collapsed="false">
      <c r="A11" s="15" t="s">
        <v>0</v>
      </c>
      <c r="B11" s="15" t="s">
        <v>3</v>
      </c>
      <c r="C11" s="15" t="s">
        <v>130</v>
      </c>
      <c r="D11" s="15" t="s">
        <v>131</v>
      </c>
      <c r="E11" s="15" t="s">
        <v>11</v>
      </c>
    </row>
    <row r="12" customFormat="false" ht="15" hidden="false" customHeight="false" outlineLevel="0" collapsed="false">
      <c r="A12" s="16" t="s">
        <v>88</v>
      </c>
      <c r="B12" s="16" t="s">
        <v>90</v>
      </c>
      <c r="C12" s="16" t="s">
        <v>89</v>
      </c>
      <c r="D12" s="17" t="n">
        <v>46</v>
      </c>
      <c r="E12" s="18" t="s">
        <v>44</v>
      </c>
    </row>
    <row r="13" customFormat="false" ht="15" hidden="false" customHeight="false" outlineLevel="0" collapsed="false">
      <c r="A13" s="16" t="s">
        <v>111</v>
      </c>
      <c r="B13" s="16" t="s">
        <v>112</v>
      </c>
      <c r="C13" s="16" t="s">
        <v>105</v>
      </c>
      <c r="D13" s="17" t="n">
        <v>42</v>
      </c>
      <c r="E13" s="18" t="s">
        <v>44</v>
      </c>
    </row>
    <row r="14" customFormat="false" ht="15" hidden="false" customHeight="false" outlineLevel="0" collapsed="false">
      <c r="A14" s="16" t="s">
        <v>40</v>
      </c>
      <c r="B14" s="16" t="s">
        <v>42</v>
      </c>
      <c r="C14" s="16" t="s">
        <v>36</v>
      </c>
      <c r="D14" s="17" t="n">
        <v>41</v>
      </c>
      <c r="E14" s="18" t="s">
        <v>44</v>
      </c>
    </row>
    <row r="15" customFormat="false" ht="15" hidden="false" customHeight="false" outlineLevel="0" collapsed="false">
      <c r="A15" s="16" t="s">
        <v>75</v>
      </c>
      <c r="B15" s="16" t="s">
        <v>77</v>
      </c>
      <c r="C15" s="16" t="s">
        <v>72</v>
      </c>
      <c r="D15" s="17" t="n">
        <v>40</v>
      </c>
      <c r="E15" s="18" t="s">
        <v>44</v>
      </c>
    </row>
    <row r="16" customFormat="false" ht="15" hidden="false" customHeight="false" outlineLevel="0" collapsed="false">
      <c r="A16" s="16" t="s">
        <v>13</v>
      </c>
      <c r="B16" s="16" t="s">
        <v>16</v>
      </c>
      <c r="C16" s="16" t="s">
        <v>15</v>
      </c>
      <c r="D16" s="17" t="n">
        <v>39</v>
      </c>
      <c r="E16" s="19" t="s">
        <v>18</v>
      </c>
    </row>
    <row r="18" customFormat="false" ht="15" hidden="false" customHeight="false" outlineLevel="0" collapsed="false">
      <c r="A18" s="20" t="s">
        <v>130</v>
      </c>
      <c r="B18" s="20" t="s">
        <v>132</v>
      </c>
      <c r="C18" s="20" t="s">
        <v>133</v>
      </c>
      <c r="D18" s="20" t="s">
        <v>134</v>
      </c>
      <c r="E18" s="20" t="s">
        <v>135</v>
      </c>
    </row>
    <row r="19" customFormat="false" ht="15" hidden="false" customHeight="false" outlineLevel="0" collapsed="false">
      <c r="A19" s="2" t="s">
        <v>15</v>
      </c>
      <c r="B19" s="2" t="n">
        <v>4</v>
      </c>
      <c r="C19" s="2" t="n">
        <v>0</v>
      </c>
      <c r="D19" s="2" t="n">
        <v>3</v>
      </c>
      <c r="E19" s="2" t="n">
        <v>1</v>
      </c>
    </row>
    <row r="20" customFormat="false" ht="15" hidden="false" customHeight="false" outlineLevel="0" collapsed="false">
      <c r="A20" s="2" t="s">
        <v>36</v>
      </c>
      <c r="B20" s="2" t="n">
        <v>5</v>
      </c>
      <c r="C20" s="2" t="n">
        <v>1</v>
      </c>
      <c r="D20" s="2" t="n">
        <v>3</v>
      </c>
      <c r="E20" s="2" t="n">
        <v>1</v>
      </c>
    </row>
    <row r="21" customFormat="false" ht="15" hidden="false" customHeight="false" outlineLevel="0" collapsed="false">
      <c r="A21" s="2" t="s">
        <v>60</v>
      </c>
      <c r="B21" s="2" t="n">
        <v>3</v>
      </c>
      <c r="C21" s="2" t="n">
        <v>0</v>
      </c>
      <c r="D21" s="2" t="n">
        <v>2</v>
      </c>
      <c r="E21" s="2" t="n">
        <v>1</v>
      </c>
    </row>
    <row r="22" customFormat="false" ht="15" hidden="false" customHeight="false" outlineLevel="0" collapsed="false">
      <c r="A22" s="2" t="s">
        <v>72</v>
      </c>
      <c r="B22" s="2" t="n">
        <v>5</v>
      </c>
      <c r="C22" s="2" t="n">
        <v>1</v>
      </c>
      <c r="D22" s="2" t="n">
        <v>3</v>
      </c>
      <c r="E22" s="2" t="n">
        <v>1</v>
      </c>
    </row>
    <row r="23" customFormat="false" ht="15" hidden="false" customHeight="false" outlineLevel="0" collapsed="false">
      <c r="A23" s="2" t="s">
        <v>89</v>
      </c>
      <c r="B23" s="2" t="n">
        <v>5</v>
      </c>
      <c r="C23" s="2" t="n">
        <v>1</v>
      </c>
      <c r="D23" s="2" t="n">
        <v>3</v>
      </c>
      <c r="E23" s="2" t="n">
        <v>1</v>
      </c>
    </row>
    <row r="24" customFormat="false" ht="15" hidden="false" customHeight="false" outlineLevel="0" collapsed="false">
      <c r="A24" s="2" t="s">
        <v>105</v>
      </c>
      <c r="B24" s="2" t="n">
        <v>5</v>
      </c>
      <c r="C24" s="2" t="n">
        <v>1</v>
      </c>
      <c r="D24" s="2" t="n">
        <v>4</v>
      </c>
      <c r="E24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0</v>
      </c>
      <c r="B1" s="1" t="s">
        <v>136</v>
      </c>
      <c r="C1" s="1" t="s">
        <v>137</v>
      </c>
      <c r="D1" s="1" t="s">
        <v>132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customFormat="false" ht="15" hidden="false" customHeight="false" outlineLevel="0" collapsed="false">
      <c r="A2" s="2" t="s">
        <v>92</v>
      </c>
      <c r="B2" s="2" t="s">
        <v>143</v>
      </c>
      <c r="C2" s="2" t="s">
        <v>144</v>
      </c>
      <c r="D2" s="2" t="s">
        <v>145</v>
      </c>
      <c r="E2" s="2" t="s">
        <v>146</v>
      </c>
      <c r="F2" s="2" t="s">
        <v>147</v>
      </c>
      <c r="G2" s="2" t="s">
        <v>148</v>
      </c>
      <c r="H2" s="2" t="s">
        <v>149</v>
      </c>
      <c r="I2" s="9" t="s">
        <v>150</v>
      </c>
    </row>
    <row r="3" customFormat="false" ht="15" hidden="false" customHeight="false" outlineLevel="0" collapsed="false">
      <c r="A3" s="2" t="s">
        <v>19</v>
      </c>
      <c r="B3" s="2" t="s">
        <v>151</v>
      </c>
      <c r="C3" s="2" t="s">
        <v>152</v>
      </c>
      <c r="D3" s="2" t="s">
        <v>153</v>
      </c>
      <c r="E3" s="2" t="s">
        <v>154</v>
      </c>
      <c r="F3" s="2" t="s">
        <v>155</v>
      </c>
      <c r="G3" s="2" t="s">
        <v>156</v>
      </c>
      <c r="H3" s="2" t="s">
        <v>149</v>
      </c>
      <c r="I3" s="9" t="s">
        <v>150</v>
      </c>
    </row>
    <row r="4" customFormat="false" ht="15" hidden="false" customHeight="false" outlineLevel="0" collapsed="false">
      <c r="A4" s="2" t="s">
        <v>29</v>
      </c>
      <c r="B4" s="2" t="s">
        <v>157</v>
      </c>
      <c r="C4" s="2" t="s">
        <v>158</v>
      </c>
      <c r="D4" s="2" t="s">
        <v>159</v>
      </c>
      <c r="E4" s="2" t="s">
        <v>160</v>
      </c>
      <c r="F4" s="2" t="s">
        <v>161</v>
      </c>
      <c r="G4" s="2" t="s">
        <v>162</v>
      </c>
      <c r="H4" s="2" t="s">
        <v>149</v>
      </c>
      <c r="I4" s="9" t="s">
        <v>150</v>
      </c>
    </row>
    <row r="5" customFormat="false" ht="15" hidden="false" customHeight="false" outlineLevel="0" collapsed="false">
      <c r="A5" s="2" t="s">
        <v>24</v>
      </c>
      <c r="B5" s="2" t="s">
        <v>163</v>
      </c>
      <c r="C5" s="2" t="s">
        <v>164</v>
      </c>
      <c r="D5" s="2" t="s">
        <v>165</v>
      </c>
      <c r="E5" s="2" t="s">
        <v>166</v>
      </c>
      <c r="F5" s="2" t="s">
        <v>167</v>
      </c>
      <c r="G5" s="2" t="s">
        <v>168</v>
      </c>
      <c r="H5" s="2" t="s">
        <v>169</v>
      </c>
      <c r="I5" s="9" t="s">
        <v>150</v>
      </c>
    </row>
    <row r="6" customFormat="false" ht="15" hidden="false" customHeight="false" outlineLevel="0" collapsed="false">
      <c r="A6" s="2" t="s">
        <v>39</v>
      </c>
      <c r="B6" s="2" t="s">
        <v>170</v>
      </c>
      <c r="C6" s="2" t="s">
        <v>171</v>
      </c>
      <c r="D6" s="2" t="s">
        <v>172</v>
      </c>
      <c r="E6" s="2" t="s">
        <v>173</v>
      </c>
      <c r="F6" s="2" t="s">
        <v>174</v>
      </c>
      <c r="G6" s="2" t="s">
        <v>175</v>
      </c>
      <c r="H6" s="2" t="s">
        <v>149</v>
      </c>
      <c r="I6" s="9" t="s">
        <v>150</v>
      </c>
    </row>
    <row r="7" customFormat="false" ht="15" hidden="false" customHeight="false" outlineLevel="0" collapsed="false">
      <c r="A7" s="2" t="s">
        <v>49</v>
      </c>
      <c r="B7" s="2" t="s">
        <v>176</v>
      </c>
      <c r="C7" s="2" t="s">
        <v>177</v>
      </c>
      <c r="D7" s="2" t="s">
        <v>178</v>
      </c>
      <c r="E7" s="2" t="s">
        <v>179</v>
      </c>
      <c r="F7" s="2" t="s">
        <v>180</v>
      </c>
      <c r="G7" s="2" t="s">
        <v>181</v>
      </c>
      <c r="H7" s="2" t="s">
        <v>169</v>
      </c>
      <c r="I7" s="5" t="s">
        <v>182</v>
      </c>
    </row>
    <row r="8" customFormat="false" ht="15" hidden="false" customHeight="false" outlineLevel="0" collapsed="false">
      <c r="A8" s="2" t="s">
        <v>58</v>
      </c>
      <c r="B8" s="2" t="s">
        <v>183</v>
      </c>
      <c r="C8" s="2" t="s">
        <v>184</v>
      </c>
      <c r="D8" s="2" t="s">
        <v>185</v>
      </c>
      <c r="E8" s="2" t="s">
        <v>186</v>
      </c>
      <c r="F8" s="2" t="s">
        <v>187</v>
      </c>
      <c r="G8" s="2" t="s">
        <v>188</v>
      </c>
      <c r="H8" s="2" t="s">
        <v>169</v>
      </c>
      <c r="I8" s="5" t="s">
        <v>182</v>
      </c>
    </row>
    <row r="9" customFormat="false" ht="15" hidden="false" customHeight="false" outlineLevel="0" collapsed="false">
      <c r="A9" s="2" t="s">
        <v>189</v>
      </c>
      <c r="B9" s="2" t="s">
        <v>190</v>
      </c>
      <c r="C9" s="2" t="s">
        <v>191</v>
      </c>
      <c r="D9" s="2" t="s">
        <v>192</v>
      </c>
      <c r="E9" s="2" t="s">
        <v>193</v>
      </c>
      <c r="F9" s="2" t="s">
        <v>194</v>
      </c>
      <c r="G9" s="2" t="s">
        <v>181</v>
      </c>
      <c r="H9" s="2" t="s">
        <v>169</v>
      </c>
      <c r="I9" s="5" t="s">
        <v>182</v>
      </c>
    </row>
    <row r="10" customFormat="false" ht="15" hidden="false" customHeight="false" outlineLevel="0" collapsed="false">
      <c r="A10" s="2" t="s">
        <v>195</v>
      </c>
      <c r="B10" s="2" t="s">
        <v>196</v>
      </c>
      <c r="C10" s="2" t="s">
        <v>197</v>
      </c>
      <c r="D10" s="2" t="s">
        <v>198</v>
      </c>
      <c r="E10" s="2" t="s">
        <v>199</v>
      </c>
      <c r="F10" s="2" t="s">
        <v>147</v>
      </c>
      <c r="G10" s="2" t="s">
        <v>148</v>
      </c>
      <c r="H10" s="2" t="s">
        <v>200</v>
      </c>
      <c r="I10" s="7" t="s">
        <v>201</v>
      </c>
    </row>
    <row r="11" customFormat="false" ht="15" hidden="false" customHeight="false" outlineLevel="0" collapsed="false">
      <c r="A11" s="2" t="s">
        <v>202</v>
      </c>
      <c r="B11" s="2" t="s">
        <v>203</v>
      </c>
      <c r="C11" s="2" t="s">
        <v>204</v>
      </c>
      <c r="D11" s="2" t="s">
        <v>205</v>
      </c>
      <c r="E11" s="2" t="s">
        <v>179</v>
      </c>
      <c r="F11" s="2" t="s">
        <v>206</v>
      </c>
      <c r="G11" s="2" t="s">
        <v>188</v>
      </c>
      <c r="H11" s="2" t="s">
        <v>169</v>
      </c>
      <c r="I11" s="5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2026-05-24T23:01:43Z</dcterms:created>
  <dc:creator>openpyxl</dc:creator>
  <dc:description/>
  <dc:language>en-US</dc:language>
  <cp:lastModifiedBy/>
  <dcterms:modified xsi:type="dcterms:W3CDTF">2026-05-24T23:01:43Z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