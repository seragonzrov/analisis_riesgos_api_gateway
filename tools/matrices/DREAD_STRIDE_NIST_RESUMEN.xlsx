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/>
  <mc:AlternateContent xmlns:mc="http://schemas.openxmlformats.org/markup-compatibility/2006">
    <mc:Choice Requires="x15">
      <x15ac:absPath xmlns:x15ac="http://schemas.microsoft.com/office/spreadsheetml/2010/11/ac" url="C:\Users\Serafin\Desktop\2026\Clases\ISI\ISI - Trabajo Final\analisis_riesgos_api_gateway\tools\matrices\"/>
    </mc:Choice>
  </mc:AlternateContent>
  <xr:revisionPtr revIDLastSave="0" documentId="13_ncr:1_{F279925E-0E3F-4BC4-A296-935CB29605D5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DREAD Matrix" sheetId="1" r:id="rId1"/>
    <sheet name="Controles NIST" sheetId="3" r:id="rId2"/>
    <sheet name="Resumen Genera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0" i="1" l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<sst xmlns="http://schemas.openxmlformats.org/spreadsheetml/2006/main" count="430" uniqueCount="253">
  <si>
    <t>Análisis de Riesgos DREAD — API Gateway para Microservicios</t>
  </si>
  <si>
    <t>Juan Lamolle · Serafín González · Fernando Rodríguez  |  Mayo 2026</t>
  </si>
  <si>
    <t>ID</t>
  </si>
  <si>
    <t>Componente</t>
  </si>
  <si>
    <t>Categoría STRIDE</t>
  </si>
  <si>
    <t>Descripción</t>
  </si>
  <si>
    <t>CWE</t>
  </si>
  <si>
    <t>Damage</t>
  </si>
  <si>
    <t>Reprod.</t>
  </si>
  <si>
    <t>Exploit.</t>
  </si>
  <si>
    <t>Affected</t>
  </si>
  <si>
    <t>Discov.</t>
  </si>
  <si>
    <t>TOTAL</t>
  </si>
  <si>
    <t>Nivel</t>
  </si>
  <si>
    <t>Controles</t>
  </si>
  <si>
    <t>TH01</t>
  </si>
  <si>
    <t>API Gateway</t>
  </si>
  <si>
    <t>Spoofing</t>
  </si>
  <si>
    <t>Token JWT falsificado con secreto débil (HS256)</t>
  </si>
  <si>
    <t>CWE-287</t>
  </si>
  <si>
    <t>ALTO</t>
  </si>
  <si>
    <t>C02, C04</t>
  </si>
  <si>
    <t>TH02</t>
  </si>
  <si>
    <t>Service Mesh</t>
  </si>
  <si>
    <t>Microservicio malicioso sin cert válido suplanta servicio</t>
  </si>
  <si>
    <t>CWE-295</t>
  </si>
  <si>
    <t>C09</t>
  </si>
  <si>
    <t>TH03</t>
  </si>
  <si>
    <t>Redis</t>
  </si>
  <si>
    <t>Session hijacking vía session ID robado</t>
  </si>
  <si>
    <t>CWE-384</t>
  </si>
  <si>
    <t>C13</t>
  </si>
  <si>
    <t>TH04</t>
  </si>
  <si>
    <t>API Calls</t>
  </si>
  <si>
    <t>API key theft desde código o logs</t>
  </si>
  <si>
    <t>CWE-798</t>
  </si>
  <si>
    <t>MEDIO</t>
  </si>
  <si>
    <t>C04</t>
  </si>
  <si>
    <t>TH05</t>
  </si>
  <si>
    <t>Tampering</t>
  </si>
  <si>
    <t>Manipulación de request params en vuelo</t>
  </si>
  <si>
    <t>CWE-20</t>
  </si>
  <si>
    <t>C05</t>
  </si>
  <si>
    <t>TH06</t>
  </si>
  <si>
    <t>PostgreSQL</t>
  </si>
  <si>
    <t>SQL Injection vía input no sanitizado</t>
  </si>
  <si>
    <t>CWE-89</t>
  </si>
  <si>
    <t>CRÍTICO</t>
  </si>
  <si>
    <t>TH07</t>
  </si>
  <si>
    <t>RabbitMQ</t>
  </si>
  <si>
    <t>Modificación de mensajes en cola</t>
  </si>
  <si>
    <t>CWE-345</t>
  </si>
  <si>
    <t>C11</t>
  </si>
  <si>
    <t>TH08</t>
  </si>
  <si>
    <t>Kubernetes</t>
  </si>
  <si>
    <t>ConfigMap/Secret modification en runtime</t>
  </si>
  <si>
    <t>CWE-732</t>
  </si>
  <si>
    <t>TH09</t>
  </si>
  <si>
    <t>Container Image</t>
  </si>
  <si>
    <t>Imagen Docker infectada en registry</t>
  </si>
  <si>
    <t>CWE-494</t>
  </si>
  <si>
    <t>C06, C07</t>
  </si>
  <si>
    <t>TH10</t>
  </si>
  <si>
    <t>Repudiation</t>
  </si>
  <si>
    <t>Falta de trazabilidad de acciones</t>
  </si>
  <si>
    <t>CWE-778</t>
  </si>
  <si>
    <t>C03, C12</t>
  </si>
  <si>
    <t>TH11</t>
  </si>
  <si>
    <t>Microservices</t>
  </si>
  <si>
    <t>Logs eliminados o modificados</t>
  </si>
  <si>
    <t>CWE-117</t>
  </si>
  <si>
    <t>TH12</t>
  </si>
  <si>
    <t>Transactions</t>
  </si>
  <si>
    <t>Usuario niega haber realizado compra</t>
  </si>
  <si>
    <t>CWE-284</t>
  </si>
  <si>
    <t>C12</t>
  </si>
  <si>
    <t>TH13</t>
  </si>
  <si>
    <t>Info Disclosure</t>
  </si>
  <si>
    <t>API responses verbosas exponen stack traces</t>
  </si>
  <si>
    <t>CWE-209</t>
  </si>
  <si>
    <t>C14</t>
  </si>
  <si>
    <t>TH14</t>
  </si>
  <si>
    <t>Logs</t>
  </si>
  <si>
    <t>PII en logs sin encriptar (emails, tokens)</t>
  </si>
  <si>
    <t>CWE-532</t>
  </si>
  <si>
    <t>C03</t>
  </si>
  <si>
    <t>TH15</t>
  </si>
  <si>
    <t>Memory dump de Redis expone sesiones</t>
  </si>
  <si>
    <t>CWE-316</t>
  </si>
  <si>
    <t>TH16</t>
  </si>
  <si>
    <t>Secrets en env vars accesibles vía API</t>
  </si>
  <si>
    <t>CWE-526</t>
  </si>
  <si>
    <t>TH17</t>
  </si>
  <si>
    <t>Error Messages</t>
  </si>
  <si>
    <t>Stack traces en producción</t>
  </si>
  <si>
    <t>TH18</t>
  </si>
  <si>
    <t>DoS</t>
  </si>
  <si>
    <t>Request flooding satura recursos (DDoS)</t>
  </si>
  <si>
    <t>CWE-770</t>
  </si>
  <si>
    <t>C01</t>
  </si>
  <si>
    <t>TH19</t>
  </si>
  <si>
    <t>Servicio consume toda CPU/memoria</t>
  </si>
  <si>
    <t>CWE-400</t>
  </si>
  <si>
    <t>C08</t>
  </si>
  <si>
    <t>TH20</t>
  </si>
  <si>
    <t>Connection pool exhaustion</t>
  </si>
  <si>
    <t>CWE-404</t>
  </si>
  <si>
    <t>TH21</t>
  </si>
  <si>
    <t>Queue flooding con mensajes maliciosos</t>
  </si>
  <si>
    <t>C01, C11</t>
  </si>
  <si>
    <t>TH22</t>
  </si>
  <si>
    <t>Istio</t>
  </si>
  <si>
    <t>Control plane saturado</t>
  </si>
  <si>
    <t>C07</t>
  </si>
  <si>
    <t>TH23</t>
  </si>
  <si>
    <t>Elevation</t>
  </si>
  <si>
    <t>JWT claim manipulation para admin role</t>
  </si>
  <si>
    <t>CWE-269</t>
  </si>
  <si>
    <t>C02</t>
  </si>
  <si>
    <t>TH24</t>
  </si>
  <si>
    <t>Container escape a nodo host (runC CVE)</t>
  </si>
  <si>
    <t>CWE-250</t>
  </si>
  <si>
    <t>TH25</t>
  </si>
  <si>
    <t>IDOR — acceso a recursos de otro usuario</t>
  </si>
  <si>
    <t>CWE-639</t>
  </si>
  <si>
    <t>TH26</t>
  </si>
  <si>
    <t>Bypass de políticas de Istio</t>
  </si>
  <si>
    <t>CWE-863</t>
  </si>
  <si>
    <t>C10</t>
  </si>
  <si>
    <t>TH27</t>
  </si>
  <si>
    <t>RBAC</t>
  </si>
  <si>
    <t>Role misconfiguration (over-privileged)</t>
  </si>
  <si>
    <t>CWE-266</t>
  </si>
  <si>
    <t>C15</t>
  </si>
  <si>
    <t>Análisis de Riesgos — API Gateway para Microservicios</t>
  </si>
  <si>
    <t>Total amenazas identificadas</t>
  </si>
  <si>
    <t>Amenazas CRÍTICAS (DREAD ≥ 40)</t>
  </si>
  <si>
    <t>Amenazas ALTAS (score 30–39)</t>
  </si>
  <si>
    <t>Amenazas MEDIAS (score 20–29)</t>
  </si>
  <si>
    <t>Score DREAD promedio</t>
  </si>
  <si>
    <t>Score DREAD máximo</t>
  </si>
  <si>
    <t>Score DREAD mínimo</t>
  </si>
  <si>
    <t>TOP 5 AMENAZAS POR SCORE DREAD</t>
  </si>
  <si>
    <t>Score</t>
  </si>
  <si>
    <t>DISTRIBUCIÓN POR CATEGORÍA STRIDE</t>
  </si>
  <si>
    <t>Total</t>
  </si>
  <si>
    <t>Críticas</t>
  </si>
  <si>
    <t>Altas</t>
  </si>
  <si>
    <t>Medias</t>
  </si>
  <si>
    <t>Matriz de Controles — NIST CSF / ISO 27001 / OWASP API Security</t>
  </si>
  <si>
    <t>Fuente: docs/07-plan-mitigacion.md y docs/08-controles-nist-iso.md  |  Mayo 2026</t>
  </si>
  <si>
    <t>Amenazas que mitiga</t>
  </si>
  <si>
    <t>Control de Seguridad</t>
  </si>
  <si>
    <t>Detalle Técnico</t>
  </si>
  <si>
    <t>Categoría</t>
  </si>
  <si>
    <t>Prioridad</t>
  </si>
  <si>
    <t>Sprint</t>
  </si>
  <si>
    <t>Responsable</t>
  </si>
  <si>
    <t>NIST CSF</t>
  </si>
  <si>
    <t>ISO 27001</t>
  </si>
  <si>
    <t>OWASP API</t>
  </si>
  <si>
    <t>TH18, TH21</t>
  </si>
  <si>
    <t>Rate Limiting en 3 capas</t>
  </si>
  <si>
    <t>WAF + Kong + Application layer</t>
  </si>
  <si>
    <t>Preventivo</t>
  </si>
  <si>
    <t>P0</t>
  </si>
  <si>
    <t>Sprint 1</t>
  </si>
  <si>
    <t>Platform/SRE</t>
  </si>
  <si>
    <t>PR.AC-5</t>
  </si>
  <si>
    <t>A.13.1</t>
  </si>
  <si>
    <t>API4:2023</t>
  </si>
  <si>
    <t>TH01, TH23</t>
  </si>
  <si>
    <t>JWT Secret Rotation + RS256</t>
  </si>
  <si>
    <t>Asymmetric keys + rotación 30 días</t>
  </si>
  <si>
    <t>Security + Backend</t>
  </si>
  <si>
    <t>PR.AC-1</t>
  </si>
  <si>
    <t>A.9.4</t>
  </si>
  <si>
    <t>API2:2023</t>
  </si>
  <si>
    <t>Log Scrubbing + Encryption</t>
  </si>
  <si>
    <t>Fluentd filters + Elasticsearch TLS</t>
  </si>
  <si>
    <t>Observability</t>
  </si>
  <si>
    <t>DE.CM-7</t>
  </si>
  <si>
    <t>A.12.4</t>
  </si>
  <si>
    <t>API3:2023</t>
  </si>
  <si>
    <t>External Secrets Operator + Vault</t>
  </si>
  <si>
    <t>Vault integration + auto-rotation</t>
  </si>
  <si>
    <t>Sprint 2</t>
  </si>
  <si>
    <t>Platform</t>
  </si>
  <si>
    <t>PR.AC-4</t>
  </si>
  <si>
    <t>A.9.2</t>
  </si>
  <si>
    <t>API8:2023</t>
  </si>
  <si>
    <t>Input Validation Framework</t>
  </si>
  <si>
    <t>Schema validation + Prepared statements</t>
  </si>
  <si>
    <t>Sprint 1-2</t>
  </si>
  <si>
    <t>Desarrollo</t>
  </si>
  <si>
    <t>PR.DS-5</t>
  </si>
  <si>
    <t>A.14.2</t>
  </si>
  <si>
    <t>API1:2023</t>
  </si>
  <si>
    <t>C06</t>
  </si>
  <si>
    <t>Image Signing + Scanning</t>
  </si>
  <si>
    <t>Cosign + Trivy en registry</t>
  </si>
  <si>
    <t>P1</t>
  </si>
  <si>
    <t>Sprint 3</t>
  </si>
  <si>
    <t>Platform/DevOps</t>
  </si>
  <si>
    <t>PR.DS-6</t>
  </si>
  <si>
    <t>A.12.6</t>
  </si>
  <si>
    <t>API7:2023</t>
  </si>
  <si>
    <t>Security Contexts + AppArmor</t>
  </si>
  <si>
    <t>RuntimeClass + AppArmor profiles</t>
  </si>
  <si>
    <t>DE.CM-8</t>
  </si>
  <si>
    <t>TH19, TH20</t>
  </si>
  <si>
    <t>Resource Limits + HPA</t>
  </si>
  <si>
    <t>CPU/Memory limits + autoscaling</t>
  </si>
  <si>
    <t>PR.DS-4</t>
  </si>
  <si>
    <t>A.12.1</t>
  </si>
  <si>
    <t>mTLS Strict Mode (Istio)</t>
  </si>
  <si>
    <t>PeerAuthentication STRICT en todos los namespaces</t>
  </si>
  <si>
    <t>PR.DS-2</t>
  </si>
  <si>
    <t>A.14.1</t>
  </si>
  <si>
    <t>Network Policies + Admission Controllers</t>
  </si>
  <si>
    <t>Default deny all + OPA Gatekeeper</t>
  </si>
  <si>
    <t>Sprint 4</t>
  </si>
  <si>
    <t>API5:2023</t>
  </si>
  <si>
    <t>Runtime Security (Falco)</t>
  </si>
  <si>
    <t>Falco rules + alertas PagerDuty</t>
  </si>
  <si>
    <t>Detectivo</t>
  </si>
  <si>
    <t>Security/SRE</t>
  </si>
  <si>
    <t>API9:2023</t>
  </si>
  <si>
    <t>TH10, TH11, TH12</t>
  </si>
  <si>
    <t>Immutable Audit Logs</t>
  </si>
  <si>
    <t>Write-once storage + WORM policy</t>
  </si>
  <si>
    <t>P2</t>
  </si>
  <si>
    <t>Sprint 5</t>
  </si>
  <si>
    <t>AU-9</t>
  </si>
  <si>
    <t>TH03, TH15</t>
  </si>
  <si>
    <t>Session Encryption + HTTPOnly Cookies</t>
  </si>
  <si>
    <t>Redis TLS + cookie flags seguros</t>
  </si>
  <si>
    <t>Backend</t>
  </si>
  <si>
    <t>A.10.1</t>
  </si>
  <si>
    <t>TH13, TH17</t>
  </si>
  <si>
    <t>Error Handling Framework</t>
  </si>
  <si>
    <t>Generic errors en prod + verbose en dev</t>
  </si>
  <si>
    <t>RBAC Review + Least Privilege</t>
  </si>
  <si>
    <t>Audit de roles K8s + service accounts únicos</t>
  </si>
  <si>
    <t>Sprint 6</t>
  </si>
  <si>
    <t>Security/DevOps</t>
  </si>
  <si>
    <t>PR.AC-6</t>
  </si>
  <si>
    <t>A.9.1</t>
  </si>
  <si>
    <t>TH10, TH11, TH14</t>
  </si>
  <si>
    <t>TH01, TH04, TH08, TH16</t>
  </si>
  <si>
    <t>TH05, TH06, TH25</t>
  </si>
  <si>
    <t>TH09, TH22, TH24</t>
  </si>
  <si>
    <t>TH07, TH21 + Todas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</si>
</sst>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64748B"/>
      <name val="Arial"/>
      <charset val="1"/>
    </font>
    <font>
      <b/>
      <sz val="10"/>
      <color rgb="FFFFFFFF"/>
      <name val="Arial"/>
      <charset val="1"/>
    </font>
    <font>
      <b/>
      <sz val="10"/>
      <color rgb="FF1E293B"/>
      <name val="Arial"/>
      <charset val="1"/>
    </font>
    <font>
      <sz val="10"/>
      <color rgb="FF1E293B"/>
      <name val="Arial"/>
      <charset val="1"/>
    </font>
    <font>
      <b/>
      <sz val="10"/>
      <color rgb="FF78350F"/>
      <name val="Arial"/>
      <charset val="1"/>
    </font>
    <font>
      <b/>
      <sz val="10"/>
      <color rgb="FF166534"/>
      <name val="Arial"/>
      <charset val="1"/>
    </font>
    <font>
      <b/>
      <sz val="10"/>
      <color rgb="FF991B1B"/>
      <name val="Arial"/>
      <charset val="1"/>
    </font>
    <font>
      <sz val="10"/>
      <name val="Arial"/>
      <charset val="1"/>
    </font>
    <font>
      <b/>
      <sz val="11"/>
      <color rgb="FF1D4ED8"/>
      <name val="Arial"/>
      <charset val="1"/>
    </font>
    <font>
      <b/>
      <sz val="11"/>
      <color rgb="FFFFFFFF"/>
      <name val="Arial"/>
      <charset val="1"/>
    </font>
    <font>
      <sz val="10"/>
      <color rgb="FF78350F"/>
      <name val="Arial"/>
      <charset val="1"/>
    </font>
    <font>
      <sz val="10"/>
      <color rgb="FF166534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F1F5F9"/>
        <bgColor rgb="FFFFFFFF"/>
      </patternFill>
    </fill>
    <fill>
      <patternFill patternType="solid">
        <fgColor rgb="FFFEF3C7"/>
        <bgColor rgb="FFFEE2E2"/>
      </patternFill>
    </fill>
    <fill>
      <patternFill patternType="solid">
        <fgColor rgb="FFFFFFFF"/>
        <bgColor rgb="FFF1F5F9"/>
      </patternFill>
    </fill>
    <fill>
      <patternFill patternType="solid">
        <fgColor rgb="FFDCFCE7"/>
        <bgColor rgb="FFCCFFCC"/>
      </patternFill>
    </fill>
    <fill>
      <patternFill patternType="solid">
        <fgColor rgb="FFFEE2E2"/>
        <bgColor rgb="FFFEF3C7"/>
      </patternFill>
    </fill>
    <fill>
      <patternFill patternType="solid">
        <fgColor rgb="FF334155"/>
        <b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78350F"/>
      <rgbColor rgb="FF993366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31</xdr:row>
      <xdr:rowOff>0</xdr:rowOff>
    </xdr:from>
    <xdr:to>
      <xdr:col>14</xdr:col>
      <xdr:colOff>108857</xdr:colOff>
      <xdr:row>36</xdr:row>
      <xdr:rowOff>182336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3D4F3AA-C031-4E81-84AA-E3B3DEF65128}"/>
            </a:ext>
          </a:extLst>
        </xdr:cNvPr>
        <xdr:cNvSpPr txBox="1"/>
      </xdr:nvSpPr>
      <xdr:spPr>
        <a:xfrm>
          <a:off x="10382250" y="10572750"/>
          <a:ext cx="1891393" cy="1134836"/>
        </a:xfrm>
        <a:prstGeom prst="rect">
          <a:avLst/>
        </a:prstGeom>
        <a:solidFill>
          <a:schemeClr val="lt1"/>
        </a:solidFill>
        <a:ln w="38100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UY" sz="1100"/>
            <a:t>Nota: el control de mitigación </a:t>
          </a:r>
        </a:p>
        <a:p>
          <a:pPr algn="l"/>
          <a:r>
            <a:rPr lang="es-UY" sz="1100"/>
            <a:t>"C11" se aplica ante todas las amenazas. Por simplicidad no se agrega a todos los elementos de la columna.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zoomScale="110" zoomScaleNormal="110" workbookViewId="0">
      <pane ySplit="3" topLeftCell="A4" activePane="bottomLeft" state="frozen"/>
      <selection pane="bottomLeft" activeCell="C3" sqref="C3"/>
    </sheetView>
  </sheetViews>
  <sheetFormatPr baseColWidth="10" defaultColWidth="8.7109375" defaultRowHeight="15" x14ac:dyDescent="0.25"/>
  <cols>
    <col min="1" max="1" width="7" customWidth="1"/>
    <col min="2" max="2" width="16" customWidth="1"/>
    <col min="3" max="3" width="18.28515625" customWidth="1"/>
    <col min="4" max="4" width="44" customWidth="1"/>
    <col min="5" max="5" width="10" customWidth="1"/>
    <col min="6" max="10" width="9" customWidth="1"/>
    <col min="11" max="11" width="8" customWidth="1"/>
    <col min="12" max="12" width="10" customWidth="1"/>
    <col min="13" max="13" width="18" customWidth="1"/>
  </cols>
  <sheetData>
    <row r="1" spans="1:13" ht="27.7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15.75" customHeight="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21.7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27.75" customHeight="1" x14ac:dyDescent="0.25">
      <c r="A4" s="2" t="s">
        <v>15</v>
      </c>
      <c r="B4" s="3" t="s">
        <v>16</v>
      </c>
      <c r="C4" s="3" t="s">
        <v>17</v>
      </c>
      <c r="D4" s="4" t="s">
        <v>18</v>
      </c>
      <c r="E4" s="3" t="s">
        <v>19</v>
      </c>
      <c r="F4" s="3">
        <v>9</v>
      </c>
      <c r="G4" s="3">
        <v>9</v>
      </c>
      <c r="H4" s="3">
        <v>5</v>
      </c>
      <c r="I4" s="3">
        <v>9</v>
      </c>
      <c r="J4" s="3">
        <v>7</v>
      </c>
      <c r="K4" s="5">
        <f t="shared" ref="K4:K30" si="0">SUM(F4:J4)</f>
        <v>39</v>
      </c>
      <c r="L4" s="5" t="s">
        <v>20</v>
      </c>
      <c r="M4" s="2" t="s">
        <v>21</v>
      </c>
    </row>
    <row r="5" spans="1:13" ht="27.75" customHeight="1" x14ac:dyDescent="0.25">
      <c r="A5" s="6" t="s">
        <v>22</v>
      </c>
      <c r="B5" s="7" t="s">
        <v>23</v>
      </c>
      <c r="C5" s="7" t="s">
        <v>17</v>
      </c>
      <c r="D5" s="8" t="s">
        <v>24</v>
      </c>
      <c r="E5" s="7" t="s">
        <v>25</v>
      </c>
      <c r="F5" s="7">
        <v>8</v>
      </c>
      <c r="G5" s="7">
        <v>5</v>
      </c>
      <c r="H5" s="7">
        <v>5</v>
      </c>
      <c r="I5" s="7">
        <v>8</v>
      </c>
      <c r="J5" s="7">
        <v>5</v>
      </c>
      <c r="K5" s="5">
        <f t="shared" si="0"/>
        <v>31</v>
      </c>
      <c r="L5" s="5" t="s">
        <v>20</v>
      </c>
      <c r="M5" s="6" t="s">
        <v>26</v>
      </c>
    </row>
    <row r="6" spans="1:13" ht="27.75" customHeight="1" x14ac:dyDescent="0.25">
      <c r="A6" s="2" t="s">
        <v>27</v>
      </c>
      <c r="B6" s="3" t="s">
        <v>28</v>
      </c>
      <c r="C6" s="3" t="s">
        <v>17</v>
      </c>
      <c r="D6" s="4" t="s">
        <v>29</v>
      </c>
      <c r="E6" s="3" t="s">
        <v>30</v>
      </c>
      <c r="F6" s="3">
        <v>8</v>
      </c>
      <c r="G6" s="3">
        <v>7</v>
      </c>
      <c r="H6" s="3">
        <v>6</v>
      </c>
      <c r="I6" s="3">
        <v>7</v>
      </c>
      <c r="J6" s="3">
        <v>7</v>
      </c>
      <c r="K6" s="5">
        <f t="shared" si="0"/>
        <v>35</v>
      </c>
      <c r="L6" s="5" t="s">
        <v>20</v>
      </c>
      <c r="M6" s="2" t="s">
        <v>31</v>
      </c>
    </row>
    <row r="7" spans="1:13" ht="27.75" customHeight="1" x14ac:dyDescent="0.25">
      <c r="A7" s="6" t="s">
        <v>32</v>
      </c>
      <c r="B7" s="7" t="s">
        <v>33</v>
      </c>
      <c r="C7" s="7" t="s">
        <v>17</v>
      </c>
      <c r="D7" s="8" t="s">
        <v>34</v>
      </c>
      <c r="E7" s="7" t="s">
        <v>35</v>
      </c>
      <c r="F7" s="7">
        <v>6</v>
      </c>
      <c r="G7" s="7">
        <v>6</v>
      </c>
      <c r="H7" s="7">
        <v>6</v>
      </c>
      <c r="I7" s="7">
        <v>5</v>
      </c>
      <c r="J7" s="7">
        <v>6</v>
      </c>
      <c r="K7" s="9">
        <f t="shared" si="0"/>
        <v>29</v>
      </c>
      <c r="L7" s="9" t="s">
        <v>36</v>
      </c>
      <c r="M7" s="6" t="s">
        <v>37</v>
      </c>
    </row>
    <row r="8" spans="1:13" ht="27.75" customHeight="1" x14ac:dyDescent="0.25">
      <c r="A8" s="2" t="s">
        <v>38</v>
      </c>
      <c r="B8" s="3" t="s">
        <v>16</v>
      </c>
      <c r="C8" s="3" t="s">
        <v>39</v>
      </c>
      <c r="D8" s="4" t="s">
        <v>40</v>
      </c>
      <c r="E8" s="3" t="s">
        <v>41</v>
      </c>
      <c r="F8" s="3">
        <v>6</v>
      </c>
      <c r="G8" s="3">
        <v>8</v>
      </c>
      <c r="H8" s="3">
        <v>7</v>
      </c>
      <c r="I8" s="3">
        <v>6</v>
      </c>
      <c r="J8" s="3">
        <v>7</v>
      </c>
      <c r="K8" s="5">
        <f t="shared" si="0"/>
        <v>34</v>
      </c>
      <c r="L8" s="5" t="s">
        <v>20</v>
      </c>
      <c r="M8" s="2" t="s">
        <v>42</v>
      </c>
    </row>
    <row r="9" spans="1:13" ht="27.75" customHeight="1" x14ac:dyDescent="0.25">
      <c r="A9" s="6" t="s">
        <v>43</v>
      </c>
      <c r="B9" s="7" t="s">
        <v>44</v>
      </c>
      <c r="C9" s="7" t="s">
        <v>39</v>
      </c>
      <c r="D9" s="8" t="s">
        <v>45</v>
      </c>
      <c r="E9" s="7" t="s">
        <v>46</v>
      </c>
      <c r="F9" s="7">
        <v>10</v>
      </c>
      <c r="G9" s="7">
        <v>8</v>
      </c>
      <c r="H9" s="7">
        <v>6</v>
      </c>
      <c r="I9" s="7">
        <v>9</v>
      </c>
      <c r="J9" s="7">
        <v>8</v>
      </c>
      <c r="K9" s="10">
        <f t="shared" si="0"/>
        <v>41</v>
      </c>
      <c r="L9" s="10" t="s">
        <v>47</v>
      </c>
      <c r="M9" s="6" t="s">
        <v>42</v>
      </c>
    </row>
    <row r="10" spans="1:13" ht="27.75" customHeight="1" x14ac:dyDescent="0.25">
      <c r="A10" s="2" t="s">
        <v>48</v>
      </c>
      <c r="B10" s="3" t="s">
        <v>49</v>
      </c>
      <c r="C10" s="3" t="s">
        <v>39</v>
      </c>
      <c r="D10" s="4" t="s">
        <v>50</v>
      </c>
      <c r="E10" s="3" t="s">
        <v>51</v>
      </c>
      <c r="F10" s="3">
        <v>7</v>
      </c>
      <c r="G10" s="3">
        <v>6</v>
      </c>
      <c r="H10" s="3">
        <v>5</v>
      </c>
      <c r="I10" s="3">
        <v>7</v>
      </c>
      <c r="J10" s="3">
        <v>5</v>
      </c>
      <c r="K10" s="5">
        <f t="shared" si="0"/>
        <v>30</v>
      </c>
      <c r="L10" s="5" t="s">
        <v>20</v>
      </c>
      <c r="M10" s="2" t="s">
        <v>52</v>
      </c>
    </row>
    <row r="11" spans="1:13" ht="27.75" customHeight="1" x14ac:dyDescent="0.25">
      <c r="A11" s="6" t="s">
        <v>53</v>
      </c>
      <c r="B11" s="7" t="s">
        <v>54</v>
      </c>
      <c r="C11" s="7" t="s">
        <v>39</v>
      </c>
      <c r="D11" s="8" t="s">
        <v>55</v>
      </c>
      <c r="E11" s="7" t="s">
        <v>56</v>
      </c>
      <c r="F11" s="7">
        <v>8</v>
      </c>
      <c r="G11" s="7">
        <v>5</v>
      </c>
      <c r="H11" s="7">
        <v>4</v>
      </c>
      <c r="I11" s="7">
        <v>7</v>
      </c>
      <c r="J11" s="7">
        <v>5</v>
      </c>
      <c r="K11" s="9">
        <f t="shared" si="0"/>
        <v>29</v>
      </c>
      <c r="L11" s="9" t="s">
        <v>36</v>
      </c>
      <c r="M11" s="6" t="s">
        <v>37</v>
      </c>
    </row>
    <row r="12" spans="1:13" ht="27.75" customHeight="1" x14ac:dyDescent="0.25">
      <c r="A12" s="2" t="s">
        <v>57</v>
      </c>
      <c r="B12" s="3" t="s">
        <v>58</v>
      </c>
      <c r="C12" s="3" t="s">
        <v>39</v>
      </c>
      <c r="D12" s="4" t="s">
        <v>59</v>
      </c>
      <c r="E12" s="3" t="s">
        <v>60</v>
      </c>
      <c r="F12" s="3">
        <v>10</v>
      </c>
      <c r="G12" s="3">
        <v>8</v>
      </c>
      <c r="H12" s="3">
        <v>6</v>
      </c>
      <c r="I12" s="3">
        <v>10</v>
      </c>
      <c r="J12" s="3">
        <v>5</v>
      </c>
      <c r="K12" s="5">
        <f t="shared" si="0"/>
        <v>39</v>
      </c>
      <c r="L12" s="5" t="s">
        <v>20</v>
      </c>
      <c r="M12" s="2" t="s">
        <v>61</v>
      </c>
    </row>
    <row r="13" spans="1:13" ht="27.75" customHeight="1" x14ac:dyDescent="0.25">
      <c r="A13" s="6" t="s">
        <v>62</v>
      </c>
      <c r="B13" s="7" t="s">
        <v>16</v>
      </c>
      <c r="C13" s="7" t="s">
        <v>63</v>
      </c>
      <c r="D13" s="8" t="s">
        <v>64</v>
      </c>
      <c r="E13" s="7" t="s">
        <v>65</v>
      </c>
      <c r="F13" s="7">
        <v>6</v>
      </c>
      <c r="G13" s="7">
        <v>7</v>
      </c>
      <c r="H13" s="7">
        <v>6</v>
      </c>
      <c r="I13" s="7">
        <v>7</v>
      </c>
      <c r="J13" s="7">
        <v>6</v>
      </c>
      <c r="K13" s="5">
        <f t="shared" si="0"/>
        <v>32</v>
      </c>
      <c r="L13" s="5" t="s">
        <v>20</v>
      </c>
      <c r="M13" s="6" t="s">
        <v>66</v>
      </c>
    </row>
    <row r="14" spans="1:13" ht="27.75" customHeight="1" x14ac:dyDescent="0.25">
      <c r="A14" s="2" t="s">
        <v>67</v>
      </c>
      <c r="B14" s="3" t="s">
        <v>68</v>
      </c>
      <c r="C14" s="3" t="s">
        <v>63</v>
      </c>
      <c r="D14" s="4" t="s">
        <v>69</v>
      </c>
      <c r="E14" s="3" t="s">
        <v>70</v>
      </c>
      <c r="F14" s="3">
        <v>7</v>
      </c>
      <c r="G14" s="3">
        <v>6</v>
      </c>
      <c r="H14" s="3">
        <v>5</v>
      </c>
      <c r="I14" s="3">
        <v>8</v>
      </c>
      <c r="J14" s="3">
        <v>5</v>
      </c>
      <c r="K14" s="5">
        <f t="shared" si="0"/>
        <v>31</v>
      </c>
      <c r="L14" s="5" t="s">
        <v>20</v>
      </c>
      <c r="M14" s="2" t="s">
        <v>66</v>
      </c>
    </row>
    <row r="15" spans="1:13" ht="27.75" customHeight="1" x14ac:dyDescent="0.25">
      <c r="A15" s="6" t="s">
        <v>71</v>
      </c>
      <c r="B15" s="7" t="s">
        <v>72</v>
      </c>
      <c r="C15" s="7" t="s">
        <v>63</v>
      </c>
      <c r="D15" s="8" t="s">
        <v>73</v>
      </c>
      <c r="E15" s="7" t="s">
        <v>74</v>
      </c>
      <c r="F15" s="7">
        <v>5</v>
      </c>
      <c r="G15" s="7">
        <v>5</v>
      </c>
      <c r="H15" s="7">
        <v>5</v>
      </c>
      <c r="I15" s="7">
        <v>6</v>
      </c>
      <c r="J15" s="7">
        <v>5</v>
      </c>
      <c r="K15" s="9">
        <f t="shared" si="0"/>
        <v>26</v>
      </c>
      <c r="L15" s="9" t="s">
        <v>36</v>
      </c>
      <c r="M15" s="6" t="s">
        <v>75</v>
      </c>
    </row>
    <row r="16" spans="1:13" ht="27.75" customHeight="1" x14ac:dyDescent="0.25">
      <c r="A16" s="2" t="s">
        <v>76</v>
      </c>
      <c r="B16" s="3" t="s">
        <v>16</v>
      </c>
      <c r="C16" s="3" t="s">
        <v>77</v>
      </c>
      <c r="D16" s="4" t="s">
        <v>78</v>
      </c>
      <c r="E16" s="3" t="s">
        <v>79</v>
      </c>
      <c r="F16" s="3">
        <v>5</v>
      </c>
      <c r="G16" s="3">
        <v>8</v>
      </c>
      <c r="H16" s="3">
        <v>8</v>
      </c>
      <c r="I16" s="3">
        <v>6</v>
      </c>
      <c r="J16" s="3">
        <v>8</v>
      </c>
      <c r="K16" s="5">
        <f t="shared" si="0"/>
        <v>35</v>
      </c>
      <c r="L16" s="5" t="s">
        <v>20</v>
      </c>
      <c r="M16" s="2" t="s">
        <v>80</v>
      </c>
    </row>
    <row r="17" spans="1:13" ht="27.75" customHeight="1" x14ac:dyDescent="0.25">
      <c r="A17" s="6" t="s">
        <v>81</v>
      </c>
      <c r="B17" s="7" t="s">
        <v>82</v>
      </c>
      <c r="C17" s="7" t="s">
        <v>77</v>
      </c>
      <c r="D17" s="8" t="s">
        <v>83</v>
      </c>
      <c r="E17" s="7" t="s">
        <v>84</v>
      </c>
      <c r="F17" s="7">
        <v>10</v>
      </c>
      <c r="G17" s="7">
        <v>9</v>
      </c>
      <c r="H17" s="7">
        <v>6</v>
      </c>
      <c r="I17" s="7">
        <v>8</v>
      </c>
      <c r="J17" s="7">
        <v>7</v>
      </c>
      <c r="K17" s="10">
        <f t="shared" si="0"/>
        <v>40</v>
      </c>
      <c r="L17" s="10" t="s">
        <v>47</v>
      </c>
      <c r="M17" s="6" t="s">
        <v>85</v>
      </c>
    </row>
    <row r="18" spans="1:13" ht="27.75" customHeight="1" x14ac:dyDescent="0.25">
      <c r="A18" s="2" t="s">
        <v>86</v>
      </c>
      <c r="B18" s="3" t="s">
        <v>28</v>
      </c>
      <c r="C18" s="3" t="s">
        <v>77</v>
      </c>
      <c r="D18" s="4" t="s">
        <v>87</v>
      </c>
      <c r="E18" s="3" t="s">
        <v>88</v>
      </c>
      <c r="F18" s="3">
        <v>7</v>
      </c>
      <c r="G18" s="3">
        <v>5</v>
      </c>
      <c r="H18" s="3">
        <v>4</v>
      </c>
      <c r="I18" s="3">
        <v>6</v>
      </c>
      <c r="J18" s="3">
        <v>4</v>
      </c>
      <c r="K18" s="9">
        <f t="shared" si="0"/>
        <v>26</v>
      </c>
      <c r="L18" s="9" t="s">
        <v>36</v>
      </c>
      <c r="M18" s="2" t="s">
        <v>31</v>
      </c>
    </row>
    <row r="19" spans="1:13" ht="27.75" customHeight="1" x14ac:dyDescent="0.25">
      <c r="A19" s="6" t="s">
        <v>89</v>
      </c>
      <c r="B19" s="7" t="s">
        <v>54</v>
      </c>
      <c r="C19" s="7" t="s">
        <v>77</v>
      </c>
      <c r="D19" s="8" t="s">
        <v>90</v>
      </c>
      <c r="E19" s="7" t="s">
        <v>91</v>
      </c>
      <c r="F19" s="7">
        <v>10</v>
      </c>
      <c r="G19" s="7">
        <v>8</v>
      </c>
      <c r="H19" s="7">
        <v>5</v>
      </c>
      <c r="I19" s="7">
        <v>9</v>
      </c>
      <c r="J19" s="7">
        <v>6</v>
      </c>
      <c r="K19" s="5">
        <f t="shared" si="0"/>
        <v>38</v>
      </c>
      <c r="L19" s="5" t="s">
        <v>20</v>
      </c>
      <c r="M19" s="6" t="s">
        <v>37</v>
      </c>
    </row>
    <row r="20" spans="1:13" ht="27.75" customHeight="1" x14ac:dyDescent="0.25">
      <c r="A20" s="2" t="s">
        <v>92</v>
      </c>
      <c r="B20" s="3" t="s">
        <v>93</v>
      </c>
      <c r="C20" s="3" t="s">
        <v>77</v>
      </c>
      <c r="D20" s="4" t="s">
        <v>94</v>
      </c>
      <c r="E20" s="3" t="s">
        <v>79</v>
      </c>
      <c r="F20" s="3">
        <v>4</v>
      </c>
      <c r="G20" s="3">
        <v>8</v>
      </c>
      <c r="H20" s="3">
        <v>8</v>
      </c>
      <c r="I20" s="3">
        <v>5</v>
      </c>
      <c r="J20" s="3">
        <v>8</v>
      </c>
      <c r="K20" s="5">
        <f t="shared" si="0"/>
        <v>33</v>
      </c>
      <c r="L20" s="5" t="s">
        <v>20</v>
      </c>
      <c r="M20" s="2" t="s">
        <v>80</v>
      </c>
    </row>
    <row r="21" spans="1:13" ht="27.75" customHeight="1" x14ac:dyDescent="0.25">
      <c r="A21" s="6" t="s">
        <v>95</v>
      </c>
      <c r="B21" s="7" t="s">
        <v>16</v>
      </c>
      <c r="C21" s="7" t="s">
        <v>96</v>
      </c>
      <c r="D21" s="8" t="s">
        <v>97</v>
      </c>
      <c r="E21" s="7" t="s">
        <v>98</v>
      </c>
      <c r="F21" s="7">
        <v>9</v>
      </c>
      <c r="G21" s="7">
        <v>10</v>
      </c>
      <c r="H21" s="7">
        <v>9</v>
      </c>
      <c r="I21" s="7">
        <v>10</v>
      </c>
      <c r="J21" s="7">
        <v>8</v>
      </c>
      <c r="K21" s="10">
        <f t="shared" si="0"/>
        <v>46</v>
      </c>
      <c r="L21" s="10" t="s">
        <v>47</v>
      </c>
      <c r="M21" s="6" t="s">
        <v>99</v>
      </c>
    </row>
    <row r="22" spans="1:13" ht="27.75" customHeight="1" x14ac:dyDescent="0.25">
      <c r="A22" s="2" t="s">
        <v>100</v>
      </c>
      <c r="B22" s="3" t="s">
        <v>68</v>
      </c>
      <c r="C22" s="3" t="s">
        <v>96</v>
      </c>
      <c r="D22" s="4" t="s">
        <v>101</v>
      </c>
      <c r="E22" s="3" t="s">
        <v>102</v>
      </c>
      <c r="F22" s="3">
        <v>8</v>
      </c>
      <c r="G22" s="3">
        <v>7</v>
      </c>
      <c r="H22" s="3">
        <v>7</v>
      </c>
      <c r="I22" s="3">
        <v>8</v>
      </c>
      <c r="J22" s="3">
        <v>6</v>
      </c>
      <c r="K22" s="5">
        <f t="shared" si="0"/>
        <v>36</v>
      </c>
      <c r="L22" s="5" t="s">
        <v>20</v>
      </c>
      <c r="M22" s="2" t="s">
        <v>103</v>
      </c>
    </row>
    <row r="23" spans="1:13" ht="27.75" customHeight="1" x14ac:dyDescent="0.25">
      <c r="A23" s="6" t="s">
        <v>104</v>
      </c>
      <c r="B23" s="7" t="s">
        <v>44</v>
      </c>
      <c r="C23" s="7" t="s">
        <v>96</v>
      </c>
      <c r="D23" s="8" t="s">
        <v>105</v>
      </c>
      <c r="E23" s="7" t="s">
        <v>106</v>
      </c>
      <c r="F23" s="7">
        <v>8</v>
      </c>
      <c r="G23" s="7">
        <v>6</v>
      </c>
      <c r="H23" s="7">
        <v>6</v>
      </c>
      <c r="I23" s="7">
        <v>9</v>
      </c>
      <c r="J23" s="7">
        <v>6</v>
      </c>
      <c r="K23" s="5">
        <f t="shared" si="0"/>
        <v>35</v>
      </c>
      <c r="L23" s="5" t="s">
        <v>20</v>
      </c>
      <c r="M23" s="6" t="s">
        <v>103</v>
      </c>
    </row>
    <row r="24" spans="1:13" ht="27.75" customHeight="1" x14ac:dyDescent="0.25">
      <c r="A24" s="2" t="s">
        <v>107</v>
      </c>
      <c r="B24" s="3" t="s">
        <v>49</v>
      </c>
      <c r="C24" s="3" t="s">
        <v>96</v>
      </c>
      <c r="D24" s="4" t="s">
        <v>108</v>
      </c>
      <c r="E24" s="3" t="s">
        <v>98</v>
      </c>
      <c r="F24" s="3">
        <v>7</v>
      </c>
      <c r="G24" s="3">
        <v>7</v>
      </c>
      <c r="H24" s="3">
        <v>6</v>
      </c>
      <c r="I24" s="3">
        <v>7</v>
      </c>
      <c r="J24" s="3">
        <v>6</v>
      </c>
      <c r="K24" s="5">
        <f t="shared" si="0"/>
        <v>33</v>
      </c>
      <c r="L24" s="5" t="s">
        <v>20</v>
      </c>
      <c r="M24" s="2" t="s">
        <v>109</v>
      </c>
    </row>
    <row r="25" spans="1:13" ht="27.75" customHeight="1" x14ac:dyDescent="0.25">
      <c r="A25" s="6" t="s">
        <v>110</v>
      </c>
      <c r="B25" s="7" t="s">
        <v>111</v>
      </c>
      <c r="C25" s="7" t="s">
        <v>96</v>
      </c>
      <c r="D25" s="8" t="s">
        <v>112</v>
      </c>
      <c r="E25" s="7" t="s">
        <v>102</v>
      </c>
      <c r="F25" s="7">
        <v>8</v>
      </c>
      <c r="G25" s="7">
        <v>4</v>
      </c>
      <c r="H25" s="7">
        <v>4</v>
      </c>
      <c r="I25" s="7">
        <v>8</v>
      </c>
      <c r="J25" s="7">
        <v>4</v>
      </c>
      <c r="K25" s="9">
        <f t="shared" si="0"/>
        <v>28</v>
      </c>
      <c r="L25" s="9" t="s">
        <v>36</v>
      </c>
      <c r="M25" s="6" t="s">
        <v>113</v>
      </c>
    </row>
    <row r="26" spans="1:13" ht="27.75" customHeight="1" x14ac:dyDescent="0.25">
      <c r="A26" s="2" t="s">
        <v>114</v>
      </c>
      <c r="B26" s="3" t="s">
        <v>16</v>
      </c>
      <c r="C26" s="3" t="s">
        <v>115</v>
      </c>
      <c r="D26" s="4" t="s">
        <v>116</v>
      </c>
      <c r="E26" s="3" t="s">
        <v>117</v>
      </c>
      <c r="F26" s="3">
        <v>9</v>
      </c>
      <c r="G26" s="3">
        <v>7</v>
      </c>
      <c r="H26" s="3">
        <v>6</v>
      </c>
      <c r="I26" s="3">
        <v>8</v>
      </c>
      <c r="J26" s="3">
        <v>7</v>
      </c>
      <c r="K26" s="5">
        <f t="shared" si="0"/>
        <v>37</v>
      </c>
      <c r="L26" s="5" t="s">
        <v>20</v>
      </c>
      <c r="M26" s="2" t="s">
        <v>118</v>
      </c>
    </row>
    <row r="27" spans="1:13" ht="27.75" customHeight="1" x14ac:dyDescent="0.25">
      <c r="A27" s="6" t="s">
        <v>119</v>
      </c>
      <c r="B27" s="7" t="s">
        <v>54</v>
      </c>
      <c r="C27" s="7" t="s">
        <v>115</v>
      </c>
      <c r="D27" s="8" t="s">
        <v>120</v>
      </c>
      <c r="E27" s="7" t="s">
        <v>121</v>
      </c>
      <c r="F27" s="7">
        <v>10</v>
      </c>
      <c r="G27" s="7">
        <v>5</v>
      </c>
      <c r="H27" s="7">
        <v>4</v>
      </c>
      <c r="I27" s="7">
        <v>9</v>
      </c>
      <c r="J27" s="7">
        <v>5</v>
      </c>
      <c r="K27" s="5">
        <f t="shared" si="0"/>
        <v>33</v>
      </c>
      <c r="L27" s="5" t="s">
        <v>20</v>
      </c>
      <c r="M27" s="6" t="s">
        <v>113</v>
      </c>
    </row>
    <row r="28" spans="1:13" ht="27.75" customHeight="1" x14ac:dyDescent="0.25">
      <c r="A28" s="2" t="s">
        <v>122</v>
      </c>
      <c r="B28" s="3" t="s">
        <v>68</v>
      </c>
      <c r="C28" s="3" t="s">
        <v>115</v>
      </c>
      <c r="D28" s="4" t="s">
        <v>123</v>
      </c>
      <c r="E28" s="3" t="s">
        <v>124</v>
      </c>
      <c r="F28" s="3">
        <v>7</v>
      </c>
      <c r="G28" s="3">
        <v>9</v>
      </c>
      <c r="H28" s="3">
        <v>9</v>
      </c>
      <c r="I28" s="3">
        <v>8</v>
      </c>
      <c r="J28" s="3">
        <v>9</v>
      </c>
      <c r="K28" s="10">
        <f t="shared" si="0"/>
        <v>42</v>
      </c>
      <c r="L28" s="10" t="s">
        <v>47</v>
      </c>
      <c r="M28" s="2" t="s">
        <v>42</v>
      </c>
    </row>
    <row r="29" spans="1:13" ht="27.75" customHeight="1" x14ac:dyDescent="0.25">
      <c r="A29" s="6" t="s">
        <v>125</v>
      </c>
      <c r="B29" s="7" t="s">
        <v>23</v>
      </c>
      <c r="C29" s="7" t="s">
        <v>115</v>
      </c>
      <c r="D29" s="8" t="s">
        <v>126</v>
      </c>
      <c r="E29" s="7" t="s">
        <v>127</v>
      </c>
      <c r="F29" s="7">
        <v>8</v>
      </c>
      <c r="G29" s="7">
        <v>5</v>
      </c>
      <c r="H29" s="7">
        <v>4</v>
      </c>
      <c r="I29" s="7">
        <v>8</v>
      </c>
      <c r="J29" s="7">
        <v>5</v>
      </c>
      <c r="K29" s="5">
        <f t="shared" si="0"/>
        <v>30</v>
      </c>
      <c r="L29" s="5" t="s">
        <v>20</v>
      </c>
      <c r="M29" s="6" t="s">
        <v>128</v>
      </c>
    </row>
    <row r="30" spans="1:13" ht="27.75" customHeight="1" x14ac:dyDescent="0.25">
      <c r="A30" s="2" t="s">
        <v>129</v>
      </c>
      <c r="B30" s="3" t="s">
        <v>130</v>
      </c>
      <c r="C30" s="3" t="s">
        <v>115</v>
      </c>
      <c r="D30" s="4" t="s">
        <v>131</v>
      </c>
      <c r="E30" s="3" t="s">
        <v>132</v>
      </c>
      <c r="F30" s="3">
        <v>7</v>
      </c>
      <c r="G30" s="3">
        <v>6</v>
      </c>
      <c r="H30" s="3">
        <v>5</v>
      </c>
      <c r="I30" s="3">
        <v>6</v>
      </c>
      <c r="J30" s="3">
        <v>6</v>
      </c>
      <c r="K30" s="5">
        <f t="shared" si="0"/>
        <v>30</v>
      </c>
      <c r="L30" s="5" t="s">
        <v>20</v>
      </c>
      <c r="M30" s="2" t="s">
        <v>133</v>
      </c>
    </row>
  </sheetData>
  <mergeCells count="2">
    <mergeCell ref="A1:M1"/>
    <mergeCell ref="A2:M2"/>
  </mergeCells>
  <conditionalFormatting sqref="F4:F30">
    <cfRule type="colorScale" priority="2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G4:G30">
    <cfRule type="colorScale" priority="3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H4:H30">
    <cfRule type="colorScale" priority="4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I4:I30">
    <cfRule type="colorScale" priority="5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J4:J30">
    <cfRule type="colorScale" priority="6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K4:K30">
    <cfRule type="colorScale" priority="7">
      <colorScale>
        <cfvo type="num" val="10"/>
        <cfvo type="num" val="30"/>
        <cfvo type="num" val="50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zoomScaleNormal="100" workbookViewId="0">
      <pane ySplit="3" topLeftCell="A4" activePane="bottomLeft" state="frozen"/>
      <selection pane="bottomLeft" activeCell="A2" sqref="A2:K2"/>
    </sheetView>
  </sheetViews>
  <sheetFormatPr baseColWidth="10" defaultColWidth="8.7109375" defaultRowHeight="15" x14ac:dyDescent="0.25"/>
  <cols>
    <col min="1" max="1" width="7" customWidth="1"/>
    <col min="2" max="2" width="24" customWidth="1"/>
    <col min="3" max="3" width="40.42578125" customWidth="1"/>
    <col min="4" max="4" width="48.140625" customWidth="1"/>
    <col min="5" max="5" width="12" customWidth="1"/>
    <col min="6" max="6" width="10" customWidth="1"/>
    <col min="7" max="7" width="12" customWidth="1"/>
    <col min="8" max="8" width="20" customWidth="1"/>
    <col min="9" max="10" width="10" customWidth="1"/>
    <col min="11" max="11" width="12" customWidth="1"/>
  </cols>
  <sheetData>
    <row r="1" spans="1:11" ht="27.75" customHeight="1" x14ac:dyDescent="0.25">
      <c r="A1" s="24" t="s">
        <v>149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5.75" customHeight="1" x14ac:dyDescent="0.25">
      <c r="A2" s="25" t="s">
        <v>150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21.75" customHeight="1" x14ac:dyDescent="0.25">
      <c r="A3" s="1" t="s">
        <v>2</v>
      </c>
      <c r="B3" s="1" t="s">
        <v>151</v>
      </c>
      <c r="C3" s="1" t="s">
        <v>152</v>
      </c>
      <c r="D3" s="1" t="s">
        <v>153</v>
      </c>
      <c r="E3" s="1" t="s">
        <v>154</v>
      </c>
      <c r="F3" s="1" t="s">
        <v>155</v>
      </c>
      <c r="G3" s="1" t="s">
        <v>156</v>
      </c>
      <c r="H3" s="1" t="s">
        <v>157</v>
      </c>
      <c r="I3" s="1" t="s">
        <v>158</v>
      </c>
      <c r="J3" s="1" t="s">
        <v>159</v>
      </c>
      <c r="K3" s="1" t="s">
        <v>160</v>
      </c>
    </row>
    <row r="4" spans="1:11" ht="30" customHeight="1" x14ac:dyDescent="0.25">
      <c r="A4" s="2" t="s">
        <v>99</v>
      </c>
      <c r="B4" s="18" t="s">
        <v>161</v>
      </c>
      <c r="C4" s="19" t="s">
        <v>162</v>
      </c>
      <c r="D4" s="4" t="s">
        <v>163</v>
      </c>
      <c r="E4" s="3" t="s">
        <v>164</v>
      </c>
      <c r="F4" s="10" t="s">
        <v>165</v>
      </c>
      <c r="G4" s="3" t="s">
        <v>166</v>
      </c>
      <c r="H4" s="20" t="s">
        <v>167</v>
      </c>
      <c r="I4" s="3" t="s">
        <v>168</v>
      </c>
      <c r="J4" s="3" t="s">
        <v>169</v>
      </c>
      <c r="K4" s="3" t="s">
        <v>170</v>
      </c>
    </row>
    <row r="5" spans="1:11" ht="30" customHeight="1" x14ac:dyDescent="0.25">
      <c r="A5" s="6" t="s">
        <v>118</v>
      </c>
      <c r="B5" s="21" t="s">
        <v>171</v>
      </c>
      <c r="C5" s="22" t="s">
        <v>172</v>
      </c>
      <c r="D5" s="8" t="s">
        <v>173</v>
      </c>
      <c r="E5" s="7" t="s">
        <v>164</v>
      </c>
      <c r="F5" s="10" t="s">
        <v>165</v>
      </c>
      <c r="G5" s="7" t="s">
        <v>166</v>
      </c>
      <c r="H5" s="23" t="s">
        <v>174</v>
      </c>
      <c r="I5" s="7" t="s">
        <v>175</v>
      </c>
      <c r="J5" s="7" t="s">
        <v>176</v>
      </c>
      <c r="K5" s="7" t="s">
        <v>177</v>
      </c>
    </row>
    <row r="6" spans="1:11" ht="30" customHeight="1" x14ac:dyDescent="0.25">
      <c r="A6" s="2" t="s">
        <v>85</v>
      </c>
      <c r="B6" s="18" t="s">
        <v>248</v>
      </c>
      <c r="C6" s="19" t="s">
        <v>178</v>
      </c>
      <c r="D6" s="4" t="s">
        <v>179</v>
      </c>
      <c r="E6" s="3" t="s">
        <v>164</v>
      </c>
      <c r="F6" s="10" t="s">
        <v>165</v>
      </c>
      <c r="G6" s="3" t="s">
        <v>166</v>
      </c>
      <c r="H6" s="20" t="s">
        <v>180</v>
      </c>
      <c r="I6" s="3" t="s">
        <v>181</v>
      </c>
      <c r="J6" s="3" t="s">
        <v>182</v>
      </c>
      <c r="K6" s="3" t="s">
        <v>183</v>
      </c>
    </row>
    <row r="7" spans="1:11" ht="30" customHeight="1" x14ac:dyDescent="0.25">
      <c r="A7" s="6" t="s">
        <v>37</v>
      </c>
      <c r="B7" s="21" t="s">
        <v>249</v>
      </c>
      <c r="C7" s="22" t="s">
        <v>184</v>
      </c>
      <c r="D7" s="8" t="s">
        <v>185</v>
      </c>
      <c r="E7" s="7" t="s">
        <v>164</v>
      </c>
      <c r="F7" s="10" t="s">
        <v>165</v>
      </c>
      <c r="G7" s="7" t="s">
        <v>186</v>
      </c>
      <c r="H7" s="23" t="s">
        <v>187</v>
      </c>
      <c r="I7" s="7" t="s">
        <v>188</v>
      </c>
      <c r="J7" s="7" t="s">
        <v>189</v>
      </c>
      <c r="K7" s="7" t="s">
        <v>190</v>
      </c>
    </row>
    <row r="8" spans="1:11" ht="30" customHeight="1" x14ac:dyDescent="0.25">
      <c r="A8" s="2" t="s">
        <v>42</v>
      </c>
      <c r="B8" s="18" t="s">
        <v>250</v>
      </c>
      <c r="C8" s="19" t="s">
        <v>191</v>
      </c>
      <c r="D8" s="4" t="s">
        <v>192</v>
      </c>
      <c r="E8" s="3" t="s">
        <v>164</v>
      </c>
      <c r="F8" s="10" t="s">
        <v>165</v>
      </c>
      <c r="G8" s="3" t="s">
        <v>193</v>
      </c>
      <c r="H8" s="20" t="s">
        <v>194</v>
      </c>
      <c r="I8" s="3" t="s">
        <v>195</v>
      </c>
      <c r="J8" s="3" t="s">
        <v>196</v>
      </c>
      <c r="K8" s="3" t="s">
        <v>197</v>
      </c>
    </row>
    <row r="9" spans="1:11" ht="30" customHeight="1" x14ac:dyDescent="0.25">
      <c r="A9" s="6" t="s">
        <v>198</v>
      </c>
      <c r="B9" s="21" t="s">
        <v>57</v>
      </c>
      <c r="C9" s="22" t="s">
        <v>199</v>
      </c>
      <c r="D9" s="8" t="s">
        <v>200</v>
      </c>
      <c r="E9" s="7" t="s">
        <v>164</v>
      </c>
      <c r="F9" s="5" t="s">
        <v>201</v>
      </c>
      <c r="G9" s="7" t="s">
        <v>202</v>
      </c>
      <c r="H9" s="23" t="s">
        <v>203</v>
      </c>
      <c r="I9" s="7" t="s">
        <v>204</v>
      </c>
      <c r="J9" s="7" t="s">
        <v>205</v>
      </c>
      <c r="K9" s="7" t="s">
        <v>206</v>
      </c>
    </row>
    <row r="10" spans="1:11" ht="30" customHeight="1" x14ac:dyDescent="0.25">
      <c r="A10" s="2" t="s">
        <v>113</v>
      </c>
      <c r="B10" s="18" t="s">
        <v>251</v>
      </c>
      <c r="C10" s="19" t="s">
        <v>207</v>
      </c>
      <c r="D10" s="4" t="s">
        <v>208</v>
      </c>
      <c r="E10" s="3" t="s">
        <v>164</v>
      </c>
      <c r="F10" s="5" t="s">
        <v>201</v>
      </c>
      <c r="G10" s="3" t="s">
        <v>202</v>
      </c>
      <c r="H10" s="20" t="s">
        <v>187</v>
      </c>
      <c r="I10" s="3" t="s">
        <v>209</v>
      </c>
      <c r="J10" s="3" t="s">
        <v>205</v>
      </c>
      <c r="K10" s="3" t="s">
        <v>206</v>
      </c>
    </row>
    <row r="11" spans="1:11" ht="30" customHeight="1" x14ac:dyDescent="0.25">
      <c r="A11" s="6" t="s">
        <v>103</v>
      </c>
      <c r="B11" s="21" t="s">
        <v>210</v>
      </c>
      <c r="C11" s="22" t="s">
        <v>211</v>
      </c>
      <c r="D11" s="8" t="s">
        <v>212</v>
      </c>
      <c r="E11" s="7" t="s">
        <v>164</v>
      </c>
      <c r="F11" s="5" t="s">
        <v>201</v>
      </c>
      <c r="G11" s="7" t="s">
        <v>202</v>
      </c>
      <c r="H11" s="23" t="s">
        <v>167</v>
      </c>
      <c r="I11" s="7" t="s">
        <v>213</v>
      </c>
      <c r="J11" s="7" t="s">
        <v>214</v>
      </c>
      <c r="K11" s="7" t="s">
        <v>170</v>
      </c>
    </row>
    <row r="12" spans="1:11" ht="30" customHeight="1" x14ac:dyDescent="0.25">
      <c r="A12" s="2" t="s">
        <v>26</v>
      </c>
      <c r="B12" s="18" t="s">
        <v>22</v>
      </c>
      <c r="C12" s="19" t="s">
        <v>215</v>
      </c>
      <c r="D12" s="4" t="s">
        <v>216</v>
      </c>
      <c r="E12" s="3" t="s">
        <v>164</v>
      </c>
      <c r="F12" s="5" t="s">
        <v>201</v>
      </c>
      <c r="G12" s="3" t="s">
        <v>202</v>
      </c>
      <c r="H12" s="20" t="s">
        <v>187</v>
      </c>
      <c r="I12" s="3" t="s">
        <v>217</v>
      </c>
      <c r="J12" s="3" t="s">
        <v>218</v>
      </c>
      <c r="K12" s="3" t="s">
        <v>206</v>
      </c>
    </row>
    <row r="13" spans="1:11" ht="30" customHeight="1" x14ac:dyDescent="0.25">
      <c r="A13" s="6" t="s">
        <v>128</v>
      </c>
      <c r="B13" s="21" t="s">
        <v>125</v>
      </c>
      <c r="C13" s="22" t="s">
        <v>219</v>
      </c>
      <c r="D13" s="8" t="s">
        <v>220</v>
      </c>
      <c r="E13" s="7" t="s">
        <v>164</v>
      </c>
      <c r="F13" s="5" t="s">
        <v>201</v>
      </c>
      <c r="G13" s="7" t="s">
        <v>221</v>
      </c>
      <c r="H13" s="23" t="s">
        <v>187</v>
      </c>
      <c r="I13" s="7" t="s">
        <v>168</v>
      </c>
      <c r="J13" s="7" t="s">
        <v>169</v>
      </c>
      <c r="K13" s="7" t="s">
        <v>222</v>
      </c>
    </row>
    <row r="14" spans="1:11" ht="30" customHeight="1" x14ac:dyDescent="0.25">
      <c r="A14" s="2" t="s">
        <v>52</v>
      </c>
      <c r="B14" s="18" t="s">
        <v>252</v>
      </c>
      <c r="C14" s="19" t="s">
        <v>223</v>
      </c>
      <c r="D14" s="4" t="s">
        <v>224</v>
      </c>
      <c r="E14" s="3" t="s">
        <v>225</v>
      </c>
      <c r="F14" s="5" t="s">
        <v>201</v>
      </c>
      <c r="G14" s="3" t="s">
        <v>221</v>
      </c>
      <c r="H14" s="20" t="s">
        <v>226</v>
      </c>
      <c r="I14" s="3" t="s">
        <v>181</v>
      </c>
      <c r="J14" s="3" t="s">
        <v>182</v>
      </c>
      <c r="K14" s="3" t="s">
        <v>227</v>
      </c>
    </row>
    <row r="15" spans="1:11" ht="30" customHeight="1" x14ac:dyDescent="0.25">
      <c r="A15" s="6" t="s">
        <v>75</v>
      </c>
      <c r="B15" s="21" t="s">
        <v>228</v>
      </c>
      <c r="C15" s="22" t="s">
        <v>229</v>
      </c>
      <c r="D15" s="8" t="s">
        <v>230</v>
      </c>
      <c r="E15" s="7" t="s">
        <v>225</v>
      </c>
      <c r="F15" s="9" t="s">
        <v>231</v>
      </c>
      <c r="G15" s="7" t="s">
        <v>232</v>
      </c>
      <c r="H15" s="23" t="s">
        <v>180</v>
      </c>
      <c r="I15" s="7" t="s">
        <v>233</v>
      </c>
      <c r="J15" s="7" t="s">
        <v>182</v>
      </c>
      <c r="K15" s="7" t="s">
        <v>227</v>
      </c>
    </row>
    <row r="16" spans="1:11" ht="30" customHeight="1" x14ac:dyDescent="0.25">
      <c r="A16" s="2" t="s">
        <v>31</v>
      </c>
      <c r="B16" s="18" t="s">
        <v>234</v>
      </c>
      <c r="C16" s="19" t="s">
        <v>235</v>
      </c>
      <c r="D16" s="4" t="s">
        <v>236</v>
      </c>
      <c r="E16" s="3" t="s">
        <v>164</v>
      </c>
      <c r="F16" s="9" t="s">
        <v>231</v>
      </c>
      <c r="G16" s="3" t="s">
        <v>232</v>
      </c>
      <c r="H16" s="20" t="s">
        <v>237</v>
      </c>
      <c r="I16" s="3" t="s">
        <v>217</v>
      </c>
      <c r="J16" s="3" t="s">
        <v>238</v>
      </c>
      <c r="K16" s="3" t="s">
        <v>177</v>
      </c>
    </row>
    <row r="17" spans="1:11" ht="30" customHeight="1" x14ac:dyDescent="0.25">
      <c r="A17" s="6" t="s">
        <v>80</v>
      </c>
      <c r="B17" s="21" t="s">
        <v>239</v>
      </c>
      <c r="C17" s="22" t="s">
        <v>240</v>
      </c>
      <c r="D17" s="8" t="s">
        <v>241</v>
      </c>
      <c r="E17" s="7" t="s">
        <v>164</v>
      </c>
      <c r="F17" s="9" t="s">
        <v>231</v>
      </c>
      <c r="G17" s="7" t="s">
        <v>232</v>
      </c>
      <c r="H17" s="23" t="s">
        <v>194</v>
      </c>
      <c r="I17" s="7" t="s">
        <v>195</v>
      </c>
      <c r="J17" s="7" t="s">
        <v>196</v>
      </c>
      <c r="K17" s="7" t="s">
        <v>183</v>
      </c>
    </row>
    <row r="18" spans="1:11" ht="30" customHeight="1" x14ac:dyDescent="0.25">
      <c r="A18" s="2" t="s">
        <v>133</v>
      </c>
      <c r="B18" s="18" t="s">
        <v>129</v>
      </c>
      <c r="C18" s="19" t="s">
        <v>242</v>
      </c>
      <c r="D18" s="4" t="s">
        <v>243</v>
      </c>
      <c r="E18" s="3" t="s">
        <v>164</v>
      </c>
      <c r="F18" s="9" t="s">
        <v>231</v>
      </c>
      <c r="G18" s="3" t="s">
        <v>244</v>
      </c>
      <c r="H18" s="20" t="s">
        <v>245</v>
      </c>
      <c r="I18" s="3" t="s">
        <v>246</v>
      </c>
      <c r="J18" s="3" t="s">
        <v>247</v>
      </c>
      <c r="K18" s="3" t="s">
        <v>222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tabSelected="1" zoomScaleNormal="100" workbookViewId="0">
      <selection sqref="A1:E1"/>
    </sheetView>
  </sheetViews>
  <sheetFormatPr baseColWidth="10" defaultColWidth="8.7109375" defaultRowHeight="15" x14ac:dyDescent="0.25"/>
  <cols>
    <col min="1" max="1" width="32" customWidth="1"/>
    <col min="2" max="2" width="46" customWidth="1"/>
    <col min="3" max="3" width="18" customWidth="1"/>
    <col min="4" max="4" width="10" customWidth="1"/>
    <col min="5" max="5" width="12" customWidth="1"/>
  </cols>
  <sheetData>
    <row r="1" spans="1:5" ht="27.75" customHeight="1" x14ac:dyDescent="0.25">
      <c r="A1" s="24" t="s">
        <v>134</v>
      </c>
      <c r="B1" s="24"/>
      <c r="C1" s="24"/>
      <c r="D1" s="24"/>
      <c r="E1" s="24"/>
    </row>
    <row r="2" spans="1:5" ht="15.75" customHeight="1" x14ac:dyDescent="0.25">
      <c r="A2" s="25" t="s">
        <v>1</v>
      </c>
      <c r="B2" s="25"/>
      <c r="C2" s="25"/>
      <c r="D2" s="25"/>
      <c r="E2" s="25"/>
    </row>
    <row r="4" spans="1:5" ht="21.75" customHeight="1" x14ac:dyDescent="0.25">
      <c r="A4" s="28" t="s">
        <v>135</v>
      </c>
      <c r="B4" s="28"/>
      <c r="C4" s="28"/>
      <c r="D4" s="28"/>
      <c r="E4" s="11">
        <v>27</v>
      </c>
    </row>
    <row r="5" spans="1:5" ht="21.75" customHeight="1" x14ac:dyDescent="0.25">
      <c r="A5" s="27" t="s">
        <v>136</v>
      </c>
      <c r="B5" s="27"/>
      <c r="C5" s="27"/>
      <c r="D5" s="27"/>
      <c r="E5" s="12">
        <v>4</v>
      </c>
    </row>
    <row r="6" spans="1:5" ht="21.75" customHeight="1" x14ac:dyDescent="0.25">
      <c r="A6" s="28" t="s">
        <v>137</v>
      </c>
      <c r="B6" s="28"/>
      <c r="C6" s="28"/>
      <c r="D6" s="28"/>
      <c r="E6" s="11">
        <v>18</v>
      </c>
    </row>
    <row r="7" spans="1:5" ht="21.75" customHeight="1" x14ac:dyDescent="0.25">
      <c r="A7" s="27" t="s">
        <v>138</v>
      </c>
      <c r="B7" s="27"/>
      <c r="C7" s="27"/>
      <c r="D7" s="27"/>
      <c r="E7" s="12">
        <v>5</v>
      </c>
    </row>
    <row r="8" spans="1:5" ht="21.75" customHeight="1" x14ac:dyDescent="0.25">
      <c r="A8" s="28" t="s">
        <v>139</v>
      </c>
      <c r="B8" s="28"/>
      <c r="C8" s="28"/>
      <c r="D8" s="28"/>
      <c r="E8" s="11">
        <v>34</v>
      </c>
    </row>
    <row r="9" spans="1:5" ht="21.75" customHeight="1" x14ac:dyDescent="0.25">
      <c r="A9" s="27" t="s">
        <v>140</v>
      </c>
      <c r="B9" s="27"/>
      <c r="C9" s="27"/>
      <c r="D9" s="27"/>
      <c r="E9" s="12">
        <v>46</v>
      </c>
    </row>
    <row r="10" spans="1:5" ht="21.75" customHeight="1" x14ac:dyDescent="0.25">
      <c r="A10" s="28" t="s">
        <v>141</v>
      </c>
      <c r="B10" s="28"/>
      <c r="C10" s="28"/>
      <c r="D10" s="28"/>
      <c r="E10" s="11">
        <v>26</v>
      </c>
    </row>
    <row r="12" spans="1:5" ht="21.75" customHeight="1" x14ac:dyDescent="0.25">
      <c r="A12" s="26" t="s">
        <v>142</v>
      </c>
      <c r="B12" s="26"/>
      <c r="C12" s="26"/>
      <c r="D12" s="26"/>
      <c r="E12" s="26"/>
    </row>
    <row r="13" spans="1:5" ht="19.5" customHeight="1" x14ac:dyDescent="0.25">
      <c r="A13" s="13" t="s">
        <v>2</v>
      </c>
      <c r="B13" s="13" t="s">
        <v>5</v>
      </c>
      <c r="C13" s="13" t="s">
        <v>4</v>
      </c>
      <c r="D13" s="13" t="s">
        <v>143</v>
      </c>
      <c r="E13" s="13" t="s">
        <v>13</v>
      </c>
    </row>
    <row r="14" spans="1:5" ht="27.75" customHeight="1" x14ac:dyDescent="0.25">
      <c r="A14" s="2" t="s">
        <v>95</v>
      </c>
      <c r="B14" s="4" t="s">
        <v>97</v>
      </c>
      <c r="C14" s="3" t="s">
        <v>96</v>
      </c>
      <c r="D14" s="10">
        <v>46</v>
      </c>
      <c r="E14" s="10" t="s">
        <v>47</v>
      </c>
    </row>
    <row r="15" spans="1:5" ht="27.75" customHeight="1" x14ac:dyDescent="0.25">
      <c r="A15" s="6" t="s">
        <v>122</v>
      </c>
      <c r="B15" s="8" t="s">
        <v>123</v>
      </c>
      <c r="C15" s="7" t="s">
        <v>115</v>
      </c>
      <c r="D15" s="10">
        <v>42</v>
      </c>
      <c r="E15" s="10" t="s">
        <v>47</v>
      </c>
    </row>
    <row r="16" spans="1:5" ht="27.75" customHeight="1" x14ac:dyDescent="0.25">
      <c r="A16" s="2" t="s">
        <v>43</v>
      </c>
      <c r="B16" s="4" t="s">
        <v>45</v>
      </c>
      <c r="C16" s="3" t="s">
        <v>39</v>
      </c>
      <c r="D16" s="10">
        <v>41</v>
      </c>
      <c r="E16" s="10" t="s">
        <v>47</v>
      </c>
    </row>
    <row r="17" spans="1:5" ht="27.75" customHeight="1" x14ac:dyDescent="0.25">
      <c r="A17" s="6" t="s">
        <v>81</v>
      </c>
      <c r="B17" s="8" t="s">
        <v>83</v>
      </c>
      <c r="C17" s="7" t="s">
        <v>77</v>
      </c>
      <c r="D17" s="10">
        <v>40</v>
      </c>
      <c r="E17" s="10" t="s">
        <v>47</v>
      </c>
    </row>
    <row r="18" spans="1:5" ht="27.75" customHeight="1" x14ac:dyDescent="0.25">
      <c r="A18" s="2" t="s">
        <v>15</v>
      </c>
      <c r="B18" s="4" t="s">
        <v>18</v>
      </c>
      <c r="C18" s="3" t="s">
        <v>17</v>
      </c>
      <c r="D18" s="5">
        <v>39</v>
      </c>
      <c r="E18" s="5" t="s">
        <v>20</v>
      </c>
    </row>
    <row r="20" spans="1:5" ht="21.75" customHeight="1" x14ac:dyDescent="0.25">
      <c r="A20" s="26" t="s">
        <v>144</v>
      </c>
      <c r="B20" s="26"/>
      <c r="C20" s="26"/>
      <c r="D20" s="26"/>
      <c r="E20" s="26"/>
    </row>
    <row r="21" spans="1:5" ht="19.5" customHeight="1" x14ac:dyDescent="0.25">
      <c r="A21" s="13" t="s">
        <v>4</v>
      </c>
      <c r="B21" s="13" t="s">
        <v>145</v>
      </c>
      <c r="C21" s="13" t="s">
        <v>146</v>
      </c>
      <c r="D21" s="13" t="s">
        <v>147</v>
      </c>
      <c r="E21" s="13" t="s">
        <v>148</v>
      </c>
    </row>
    <row r="22" spans="1:5" ht="19.5" customHeight="1" x14ac:dyDescent="0.25">
      <c r="A22" s="14" t="s">
        <v>17</v>
      </c>
      <c r="B22" s="3">
        <v>4</v>
      </c>
      <c r="C22" s="3">
        <v>0</v>
      </c>
      <c r="D22" s="15">
        <v>3</v>
      </c>
      <c r="E22" s="16">
        <v>1</v>
      </c>
    </row>
    <row r="23" spans="1:5" ht="19.5" customHeight="1" x14ac:dyDescent="0.25">
      <c r="A23" s="17" t="s">
        <v>39</v>
      </c>
      <c r="B23" s="7">
        <v>5</v>
      </c>
      <c r="C23" s="10">
        <v>1</v>
      </c>
      <c r="D23" s="15">
        <v>3</v>
      </c>
      <c r="E23" s="16">
        <v>1</v>
      </c>
    </row>
    <row r="24" spans="1:5" ht="19.5" customHeight="1" x14ac:dyDescent="0.25">
      <c r="A24" s="14" t="s">
        <v>63</v>
      </c>
      <c r="B24" s="3">
        <v>3</v>
      </c>
      <c r="C24" s="3">
        <v>0</v>
      </c>
      <c r="D24" s="15">
        <v>2</v>
      </c>
      <c r="E24" s="16">
        <v>1</v>
      </c>
    </row>
    <row r="25" spans="1:5" ht="19.5" customHeight="1" x14ac:dyDescent="0.25">
      <c r="A25" s="17" t="s">
        <v>77</v>
      </c>
      <c r="B25" s="7">
        <v>5</v>
      </c>
      <c r="C25" s="10">
        <v>1</v>
      </c>
      <c r="D25" s="15">
        <v>3</v>
      </c>
      <c r="E25" s="16">
        <v>1</v>
      </c>
    </row>
    <row r="26" spans="1:5" ht="19.5" customHeight="1" x14ac:dyDescent="0.25">
      <c r="A26" s="14" t="s">
        <v>96</v>
      </c>
      <c r="B26" s="3">
        <v>5</v>
      </c>
      <c r="C26" s="10">
        <v>1</v>
      </c>
      <c r="D26" s="15">
        <v>3</v>
      </c>
      <c r="E26" s="16">
        <v>1</v>
      </c>
    </row>
    <row r="27" spans="1:5" ht="19.5" customHeight="1" x14ac:dyDescent="0.25">
      <c r="A27" s="17" t="s">
        <v>115</v>
      </c>
      <c r="B27" s="7">
        <v>5</v>
      </c>
      <c r="C27" s="10">
        <v>1</v>
      </c>
      <c r="D27" s="15">
        <v>4</v>
      </c>
      <c r="E27" s="7">
        <v>0</v>
      </c>
    </row>
    <row r="28" spans="1:5" ht="21.75" customHeight="1" x14ac:dyDescent="0.25">
      <c r="A28" s="1" t="s">
        <v>12</v>
      </c>
      <c r="B28" s="1">
        <v>27</v>
      </c>
      <c r="C28" s="1">
        <v>4</v>
      </c>
      <c r="D28" s="1">
        <v>18</v>
      </c>
      <c r="E28" s="1">
        <v>5</v>
      </c>
    </row>
  </sheetData>
  <mergeCells count="11">
    <mergeCell ref="A1:E1"/>
    <mergeCell ref="A2:E2"/>
    <mergeCell ref="A4:D4"/>
    <mergeCell ref="A5:D5"/>
    <mergeCell ref="A6:D6"/>
    <mergeCell ref="A20:E20"/>
    <mergeCell ref="A7:D7"/>
    <mergeCell ref="A8:D8"/>
    <mergeCell ref="A9:D9"/>
    <mergeCell ref="A10:D10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DREAD Matrix</vt:lpstr>
      <vt:lpstr>Controles NIST</vt:lpstr>
      <vt:lpstr>Resumen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Serafin</cp:lastModifiedBy>
  <cp:revision>0</cp:revision>
  <dcterms:created xsi:type="dcterms:W3CDTF">2026-05-25T18:16:55Z</dcterms:created>
  <dcterms:modified xsi:type="dcterms:W3CDTF">2026-05-25T19:51:44Z</dcterms:modified>
  <dc:language>en-US</dc:language>
</cp:coreProperties>
</file>